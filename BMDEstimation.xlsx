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elynorein/Documents/GitHub/sandlanceverts/"/>
    </mc:Choice>
  </mc:AlternateContent>
  <xr:revisionPtr revIDLastSave="0" documentId="13_ncr:1_{D406EA60-A137-1A4C-880E-92C5080E2A30}" xr6:coauthVersionLast="47" xr6:coauthVersionMax="47" xr10:uidLastSave="{00000000-0000-0000-0000-000000000000}"/>
  <bookViews>
    <workbookView xWindow="4340" yWindow="500" windowWidth="24460" windowHeight="15880" xr2:uid="{00000000-000D-0000-FFFF-FFFF00000000}"/>
  </bookViews>
  <sheets>
    <sheet name="BMD (No ribs)" sheetId="1" r:id="rId1"/>
    <sheet name="Sheet1" sheetId="2" r:id="rId2"/>
    <sheet name="Sheet2" sheetId="3" r:id="rId3"/>
    <sheet name="Sheet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32" i="2" l="1"/>
  <c r="L331" i="2"/>
  <c r="M330" i="2"/>
  <c r="N330" i="2" s="1"/>
  <c r="L330" i="2"/>
  <c r="M329" i="2"/>
  <c r="N329" i="2" s="1"/>
  <c r="L329" i="2"/>
  <c r="L328" i="2"/>
  <c r="L327" i="2"/>
  <c r="M327" i="2" s="1"/>
  <c r="N327" i="2" s="1"/>
  <c r="L326" i="2"/>
  <c r="M326" i="2" s="1"/>
  <c r="N326" i="2" s="1"/>
  <c r="L325" i="2"/>
  <c r="L324" i="2"/>
  <c r="M323" i="2"/>
  <c r="L323" i="2"/>
  <c r="N323" i="2" s="1"/>
  <c r="M322" i="2"/>
  <c r="N322" i="2" s="1"/>
  <c r="L322" i="2"/>
  <c r="M321" i="2"/>
  <c r="N321" i="2" s="1"/>
  <c r="L321" i="2"/>
  <c r="L320" i="2"/>
  <c r="L319" i="2"/>
  <c r="M319" i="2" s="1"/>
  <c r="N319" i="2" s="1"/>
  <c r="L318" i="2"/>
  <c r="M318" i="2" s="1"/>
  <c r="N318" i="2" s="1"/>
  <c r="M317" i="2"/>
  <c r="L317" i="2"/>
  <c r="L316" i="2"/>
  <c r="M315" i="2"/>
  <c r="L315" i="2"/>
  <c r="N315" i="2" s="1"/>
  <c r="M314" i="2"/>
  <c r="N314" i="2" s="1"/>
  <c r="L314" i="2"/>
  <c r="M313" i="2"/>
  <c r="N313" i="2" s="1"/>
  <c r="L313" i="2"/>
  <c r="L312" i="2"/>
  <c r="N311" i="2"/>
  <c r="L311" i="2"/>
  <c r="M311" i="2" s="1"/>
  <c r="L310" i="2"/>
  <c r="M310" i="2" s="1"/>
  <c r="N310" i="2" s="1"/>
  <c r="L309" i="2"/>
  <c r="L308" i="2"/>
  <c r="M307" i="2"/>
  <c r="L307" i="2"/>
  <c r="N307" i="2" s="1"/>
  <c r="N306" i="2"/>
  <c r="M306" i="2"/>
  <c r="L306" i="2"/>
  <c r="M305" i="2"/>
  <c r="N305" i="2" s="1"/>
  <c r="L305" i="2"/>
  <c r="L304" i="2"/>
  <c r="L303" i="2"/>
  <c r="M303" i="2" s="1"/>
  <c r="N303" i="2" s="1"/>
  <c r="N302" i="2"/>
  <c r="L302" i="2"/>
  <c r="M302" i="2" s="1"/>
  <c r="M301" i="2"/>
  <c r="L301" i="2"/>
  <c r="L300" i="2"/>
  <c r="M299" i="2"/>
  <c r="L299" i="2"/>
  <c r="N299" i="2" s="1"/>
  <c r="M298" i="2"/>
  <c r="N298" i="2" s="1"/>
  <c r="L298" i="2"/>
  <c r="M297" i="2"/>
  <c r="N297" i="2" s="1"/>
  <c r="L297" i="2"/>
  <c r="L296" i="2"/>
  <c r="L295" i="2"/>
  <c r="M295" i="2" s="1"/>
  <c r="N295" i="2" s="1"/>
  <c r="L294" i="2"/>
  <c r="M294" i="2" s="1"/>
  <c r="N294" i="2" s="1"/>
  <c r="L293" i="2"/>
  <c r="L292" i="2"/>
  <c r="M291" i="2"/>
  <c r="L291" i="2"/>
  <c r="N291" i="2" s="1"/>
  <c r="M290" i="2"/>
  <c r="N290" i="2" s="1"/>
  <c r="L290" i="2"/>
  <c r="M289" i="2"/>
  <c r="N289" i="2" s="1"/>
  <c r="L289" i="2"/>
  <c r="L288" i="2"/>
  <c r="N287" i="2"/>
  <c r="L287" i="2"/>
  <c r="M287" i="2" s="1"/>
  <c r="L286" i="2"/>
  <c r="M286" i="2" s="1"/>
  <c r="N286" i="2" s="1"/>
  <c r="M285" i="2"/>
  <c r="L285" i="2"/>
  <c r="L284" i="2"/>
  <c r="M283" i="2"/>
  <c r="L283" i="2"/>
  <c r="N283" i="2" s="1"/>
  <c r="M282" i="2"/>
  <c r="N282" i="2" s="1"/>
  <c r="L282" i="2"/>
  <c r="M281" i="2"/>
  <c r="N281" i="2" s="1"/>
  <c r="L281" i="2"/>
  <c r="L280" i="2"/>
  <c r="L279" i="2"/>
  <c r="M279" i="2" s="1"/>
  <c r="N279" i="2" s="1"/>
  <c r="L278" i="2"/>
  <c r="M278" i="2" s="1"/>
  <c r="N278" i="2" s="1"/>
  <c r="L277" i="2"/>
  <c r="L276" i="2"/>
  <c r="M275" i="2"/>
  <c r="L275" i="2"/>
  <c r="N275" i="2" s="1"/>
  <c r="N274" i="2"/>
  <c r="M274" i="2"/>
  <c r="L274" i="2"/>
  <c r="M273" i="2"/>
  <c r="N273" i="2" s="1"/>
  <c r="L273" i="2"/>
  <c r="L272" i="2"/>
  <c r="N271" i="2"/>
  <c r="L271" i="2"/>
  <c r="M271" i="2" s="1"/>
  <c r="N270" i="2"/>
  <c r="L270" i="2"/>
  <c r="M270" i="2" s="1"/>
  <c r="M269" i="2"/>
  <c r="L269" i="2"/>
  <c r="L268" i="2"/>
  <c r="M267" i="2"/>
  <c r="L267" i="2"/>
  <c r="N267" i="2" s="1"/>
  <c r="M266" i="2"/>
  <c r="N266" i="2" s="1"/>
  <c r="L266" i="2"/>
  <c r="M265" i="2"/>
  <c r="N265" i="2" s="1"/>
  <c r="L265" i="2"/>
  <c r="L264" i="2"/>
  <c r="L263" i="2"/>
  <c r="M263" i="2" s="1"/>
  <c r="N263" i="2" s="1"/>
  <c r="L262" i="2"/>
  <c r="M262" i="2" s="1"/>
  <c r="N262" i="2" s="1"/>
  <c r="L261" i="2"/>
  <c r="L260" i="2"/>
  <c r="M259" i="2"/>
  <c r="L259" i="2"/>
  <c r="N259" i="2" s="1"/>
  <c r="N258" i="2"/>
  <c r="M258" i="2"/>
  <c r="L258" i="2"/>
  <c r="M257" i="2"/>
  <c r="N257" i="2" s="1"/>
  <c r="L257" i="2"/>
  <c r="L256" i="2"/>
  <c r="N255" i="2"/>
  <c r="L255" i="2"/>
  <c r="M255" i="2" s="1"/>
  <c r="N254" i="2"/>
  <c r="L254" i="2"/>
  <c r="M254" i="2" s="1"/>
  <c r="M253" i="2"/>
  <c r="L253" i="2"/>
  <c r="L252" i="2"/>
  <c r="M251" i="2"/>
  <c r="L251" i="2"/>
  <c r="N251" i="2" s="1"/>
  <c r="M250" i="2"/>
  <c r="N250" i="2" s="1"/>
  <c r="L250" i="2"/>
  <c r="M249" i="2"/>
  <c r="N249" i="2" s="1"/>
  <c r="L249" i="2"/>
  <c r="L248" i="2"/>
  <c r="N247" i="2"/>
  <c r="L247" i="2"/>
  <c r="M247" i="2" s="1"/>
  <c r="L246" i="2"/>
  <c r="M246" i="2" s="1"/>
  <c r="N246" i="2" s="1"/>
  <c r="L245" i="2"/>
  <c r="L244" i="2"/>
  <c r="M243" i="2"/>
  <c r="L243" i="2"/>
  <c r="N243" i="2" s="1"/>
  <c r="N242" i="2"/>
  <c r="M242" i="2"/>
  <c r="L242" i="2"/>
  <c r="M241" i="2"/>
  <c r="N241" i="2" s="1"/>
  <c r="L241" i="2"/>
  <c r="L240" i="2"/>
  <c r="L239" i="2"/>
  <c r="M239" i="2" s="1"/>
  <c r="N239" i="2" s="1"/>
  <c r="N238" i="2"/>
  <c r="L238" i="2"/>
  <c r="M238" i="2" s="1"/>
  <c r="M237" i="2"/>
  <c r="L237" i="2"/>
  <c r="L236" i="2"/>
  <c r="M235" i="2"/>
  <c r="L235" i="2"/>
  <c r="N235" i="2" s="1"/>
  <c r="M234" i="2"/>
  <c r="N234" i="2" s="1"/>
  <c r="L234" i="2"/>
  <c r="M233" i="2"/>
  <c r="N233" i="2" s="1"/>
  <c r="L233" i="2"/>
  <c r="L232" i="2"/>
  <c r="L231" i="2"/>
  <c r="M231" i="2" s="1"/>
  <c r="N231" i="2" s="1"/>
  <c r="L230" i="2"/>
  <c r="M230" i="2" s="1"/>
  <c r="N230" i="2" s="1"/>
  <c r="L229" i="2"/>
  <c r="L228" i="2"/>
  <c r="M227" i="2"/>
  <c r="L227" i="2"/>
  <c r="N227" i="2" s="1"/>
  <c r="M226" i="2"/>
  <c r="N226" i="2" s="1"/>
  <c r="L226" i="2"/>
  <c r="M225" i="2"/>
  <c r="N225" i="2" s="1"/>
  <c r="L225" i="2"/>
  <c r="L224" i="2"/>
  <c r="N223" i="2"/>
  <c r="L223" i="2"/>
  <c r="M223" i="2" s="1"/>
  <c r="L222" i="2"/>
  <c r="M222" i="2" s="1"/>
  <c r="N222" i="2" s="1"/>
  <c r="M221" i="2"/>
  <c r="L221" i="2"/>
  <c r="L220" i="2"/>
  <c r="M219" i="2"/>
  <c r="L219" i="2"/>
  <c r="N219" i="2" s="1"/>
  <c r="M218" i="2"/>
  <c r="N218" i="2" s="1"/>
  <c r="L218" i="2"/>
  <c r="M217" i="2"/>
  <c r="N217" i="2" s="1"/>
  <c r="L217" i="2"/>
  <c r="L216" i="2"/>
  <c r="L215" i="2"/>
  <c r="M215" i="2" s="1"/>
  <c r="N215" i="2" s="1"/>
  <c r="L214" i="2"/>
  <c r="M214" i="2" s="1"/>
  <c r="N214" i="2" s="1"/>
  <c r="L213" i="2"/>
  <c r="L212" i="2"/>
  <c r="M211" i="2"/>
  <c r="L211" i="2"/>
  <c r="N211" i="2" s="1"/>
  <c r="N210" i="2"/>
  <c r="M210" i="2"/>
  <c r="L210" i="2"/>
  <c r="M209" i="2"/>
  <c r="N209" i="2" s="1"/>
  <c r="L209" i="2"/>
  <c r="L208" i="2"/>
  <c r="N207" i="2"/>
  <c r="L207" i="2"/>
  <c r="M207" i="2" s="1"/>
  <c r="N206" i="2"/>
  <c r="L206" i="2"/>
  <c r="M206" i="2" s="1"/>
  <c r="M205" i="2"/>
  <c r="L205" i="2"/>
  <c r="L204" i="2"/>
  <c r="M203" i="2"/>
  <c r="L203" i="2"/>
  <c r="N203" i="2" s="1"/>
  <c r="M202" i="2"/>
  <c r="N202" i="2" s="1"/>
  <c r="L202" i="2"/>
  <c r="M201" i="2"/>
  <c r="L201" i="2"/>
  <c r="N201" i="2" s="1"/>
  <c r="L200" i="2"/>
  <c r="L199" i="2"/>
  <c r="M199" i="2" s="1"/>
  <c r="N199" i="2" s="1"/>
  <c r="L198" i="2"/>
  <c r="M198" i="2" s="1"/>
  <c r="N198" i="2" s="1"/>
  <c r="L197" i="2"/>
  <c r="L196" i="2"/>
  <c r="M195" i="2"/>
  <c r="L195" i="2"/>
  <c r="N195" i="2" s="1"/>
  <c r="N194" i="2"/>
  <c r="M194" i="2"/>
  <c r="L194" i="2"/>
  <c r="M193" i="2"/>
  <c r="L193" i="2"/>
  <c r="N193" i="2" s="1"/>
  <c r="L192" i="2"/>
  <c r="N191" i="2"/>
  <c r="M191" i="2"/>
  <c r="L191" i="2"/>
  <c r="L190" i="2"/>
  <c r="M190" i="2" s="1"/>
  <c r="L189" i="2"/>
  <c r="L188" i="2"/>
  <c r="M187" i="2"/>
  <c r="L187" i="2"/>
  <c r="N186" i="2"/>
  <c r="M186" i="2"/>
  <c r="L186" i="2"/>
  <c r="M185" i="2"/>
  <c r="L185" i="2"/>
  <c r="N185" i="2" s="1"/>
  <c r="L184" i="2"/>
  <c r="M184" i="2" s="1"/>
  <c r="N183" i="2"/>
  <c r="M183" i="2"/>
  <c r="L183" i="2"/>
  <c r="N182" i="2"/>
  <c r="L182" i="2"/>
  <c r="M182" i="2" s="1"/>
  <c r="M181" i="2"/>
  <c r="L181" i="2"/>
  <c r="L180" i="2"/>
  <c r="M179" i="2"/>
  <c r="L179" i="2"/>
  <c r="M178" i="2"/>
  <c r="N178" i="2" s="1"/>
  <c r="L178" i="2"/>
  <c r="M177" i="2"/>
  <c r="L177" i="2"/>
  <c r="N177" i="2" s="1"/>
  <c r="N176" i="2"/>
  <c r="L176" i="2"/>
  <c r="M176" i="2" s="1"/>
  <c r="N175" i="2"/>
  <c r="M175" i="2"/>
  <c r="L175" i="2"/>
  <c r="L174" i="2"/>
  <c r="L173" i="2"/>
  <c r="L172" i="2"/>
  <c r="M171" i="2"/>
  <c r="L171" i="2"/>
  <c r="N170" i="2"/>
  <c r="M170" i="2"/>
  <c r="L170" i="2"/>
  <c r="M169" i="2"/>
  <c r="L169" i="2"/>
  <c r="N169" i="2" s="1"/>
  <c r="N168" i="2"/>
  <c r="L168" i="2"/>
  <c r="M168" i="2" s="1"/>
  <c r="N167" i="2"/>
  <c r="M167" i="2"/>
  <c r="L167" i="2"/>
  <c r="N166" i="2"/>
  <c r="L166" i="2"/>
  <c r="M166" i="2" s="1"/>
  <c r="M165" i="2"/>
  <c r="L165" i="2"/>
  <c r="L164" i="2"/>
  <c r="M163" i="2"/>
  <c r="L163" i="2"/>
  <c r="N163" i="2" s="1"/>
  <c r="M162" i="2"/>
  <c r="N162" i="2" s="1"/>
  <c r="L162" i="2"/>
  <c r="M161" i="2"/>
  <c r="L161" i="2"/>
  <c r="N160" i="2"/>
  <c r="L160" i="2"/>
  <c r="M160" i="2" s="1"/>
  <c r="N159" i="2"/>
  <c r="M159" i="2"/>
  <c r="L159" i="2"/>
  <c r="N158" i="2"/>
  <c r="L158" i="2"/>
  <c r="M158" i="2" s="1"/>
  <c r="M157" i="2"/>
  <c r="L157" i="2"/>
  <c r="L156" i="2"/>
  <c r="M155" i="2"/>
  <c r="L155" i="2"/>
  <c r="M154" i="2"/>
  <c r="N154" i="2" s="1"/>
  <c r="L154" i="2"/>
  <c r="M153" i="2"/>
  <c r="L153" i="2"/>
  <c r="L152" i="2"/>
  <c r="M152" i="2" s="1"/>
  <c r="N151" i="2"/>
  <c r="M151" i="2"/>
  <c r="L151" i="2"/>
  <c r="N150" i="2"/>
  <c r="L150" i="2"/>
  <c r="M150" i="2" s="1"/>
  <c r="M149" i="2"/>
  <c r="L149" i="2"/>
  <c r="L148" i="2"/>
  <c r="M147" i="2"/>
  <c r="L147" i="2"/>
  <c r="N147" i="2" s="1"/>
  <c r="M146" i="2"/>
  <c r="N146" i="2" s="1"/>
  <c r="L146" i="2"/>
  <c r="M145" i="2"/>
  <c r="N145" i="2" s="1"/>
  <c r="L145" i="2"/>
  <c r="N144" i="2"/>
  <c r="L144" i="2"/>
  <c r="M144" i="2" s="1"/>
  <c r="N143" i="2"/>
  <c r="M143" i="2"/>
  <c r="L143" i="2"/>
  <c r="N142" i="2"/>
  <c r="L142" i="2"/>
  <c r="M142" i="2" s="1"/>
  <c r="L141" i="2"/>
  <c r="L140" i="2"/>
  <c r="M139" i="2"/>
  <c r="L139" i="2"/>
  <c r="N139" i="2" s="1"/>
  <c r="N138" i="2"/>
  <c r="M138" i="2"/>
  <c r="L138" i="2"/>
  <c r="M137" i="2"/>
  <c r="N137" i="2" s="1"/>
  <c r="L137" i="2"/>
  <c r="L136" i="2"/>
  <c r="N135" i="2"/>
  <c r="M135" i="2"/>
  <c r="L135" i="2"/>
  <c r="N134" i="2"/>
  <c r="L134" i="2"/>
  <c r="M134" i="2" s="1"/>
  <c r="M133" i="2"/>
  <c r="L133" i="2"/>
  <c r="L132" i="2"/>
  <c r="M131" i="2"/>
  <c r="L131" i="2"/>
  <c r="N131" i="2" s="1"/>
  <c r="N130" i="2"/>
  <c r="M130" i="2"/>
  <c r="L130" i="2"/>
  <c r="M129" i="2"/>
  <c r="N129" i="2" s="1"/>
  <c r="L129" i="2"/>
  <c r="N128" i="2"/>
  <c r="L128" i="2"/>
  <c r="M128" i="2" s="1"/>
  <c r="N127" i="2"/>
  <c r="L127" i="2"/>
  <c r="M127" i="2" s="1"/>
  <c r="N126" i="2"/>
  <c r="L126" i="2"/>
  <c r="M126" i="2" s="1"/>
  <c r="M125" i="2"/>
  <c r="L125" i="2"/>
  <c r="L124" i="2"/>
  <c r="M123" i="2"/>
  <c r="L123" i="2"/>
  <c r="N123" i="2" s="1"/>
  <c r="N122" i="2"/>
  <c r="M122" i="2"/>
  <c r="L122" i="2"/>
  <c r="M121" i="2"/>
  <c r="N121" i="2" s="1"/>
  <c r="L121" i="2"/>
  <c r="N120" i="2"/>
  <c r="L120" i="2"/>
  <c r="M120" i="2" s="1"/>
  <c r="N119" i="2"/>
  <c r="M119" i="2"/>
  <c r="L119" i="2"/>
  <c r="L118" i="2"/>
  <c r="M118" i="2" s="1"/>
  <c r="L117" i="2"/>
  <c r="L116" i="2"/>
  <c r="M115" i="2"/>
  <c r="L115" i="2"/>
  <c r="N114" i="2"/>
  <c r="M114" i="2"/>
  <c r="L114" i="2"/>
  <c r="M113" i="2"/>
  <c r="N113" i="2" s="1"/>
  <c r="L113" i="2"/>
  <c r="L112" i="2"/>
  <c r="M112" i="2" s="1"/>
  <c r="N111" i="2"/>
  <c r="L111" i="2"/>
  <c r="M111" i="2" s="1"/>
  <c r="L110" i="2"/>
  <c r="M110" i="2" s="1"/>
  <c r="L109" i="2"/>
  <c r="L108" i="2"/>
  <c r="M107" i="2"/>
  <c r="L107" i="2"/>
  <c r="N106" i="2"/>
  <c r="M106" i="2"/>
  <c r="L106" i="2"/>
  <c r="M105" i="2"/>
  <c r="N105" i="2" s="1"/>
  <c r="L105" i="2"/>
  <c r="L104" i="2"/>
  <c r="M104" i="2" s="1"/>
  <c r="N103" i="2"/>
  <c r="L103" i="2"/>
  <c r="M103" i="2" s="1"/>
  <c r="L102" i="2"/>
  <c r="M102" i="2" s="1"/>
  <c r="L101" i="2"/>
  <c r="L100" i="2"/>
  <c r="M99" i="2"/>
  <c r="L99" i="2"/>
  <c r="N98" i="2"/>
  <c r="M98" i="2"/>
  <c r="L98" i="2"/>
  <c r="M97" i="2"/>
  <c r="L97" i="2"/>
  <c r="N97" i="2" s="1"/>
  <c r="L96" i="2"/>
  <c r="N95" i="2"/>
  <c r="L95" i="2"/>
  <c r="M95" i="2" s="1"/>
  <c r="L94" i="2"/>
  <c r="M94" i="2" s="1"/>
  <c r="L93" i="2"/>
  <c r="L92" i="2"/>
  <c r="M91" i="2"/>
  <c r="L91" i="2"/>
  <c r="N90" i="2"/>
  <c r="M90" i="2"/>
  <c r="L90" i="2"/>
  <c r="M89" i="2"/>
  <c r="L89" i="2"/>
  <c r="N89" i="2" s="1"/>
  <c r="L88" i="2"/>
  <c r="M88" i="2" s="1"/>
  <c r="N87" i="2"/>
  <c r="L87" i="2"/>
  <c r="M87" i="2" s="1"/>
  <c r="L86" i="2"/>
  <c r="M86" i="2" s="1"/>
  <c r="L85" i="2"/>
  <c r="L84" i="2"/>
  <c r="M83" i="2"/>
  <c r="N83" i="2" s="1"/>
  <c r="L83" i="2"/>
  <c r="N82" i="2"/>
  <c r="M82" i="2"/>
  <c r="L82" i="2"/>
  <c r="M81" i="2"/>
  <c r="N81" i="2" s="1"/>
  <c r="L81" i="2"/>
  <c r="L80" i="2"/>
  <c r="M80" i="2" s="1"/>
  <c r="N79" i="2"/>
  <c r="L79" i="2"/>
  <c r="M79" i="2" s="1"/>
  <c r="L78" i="2"/>
  <c r="M78" i="2" s="1"/>
  <c r="L77" i="2"/>
  <c r="L76" i="2"/>
  <c r="M75" i="2"/>
  <c r="L75" i="2"/>
  <c r="N74" i="2"/>
  <c r="M74" i="2"/>
  <c r="L74" i="2"/>
  <c r="M73" i="2"/>
  <c r="L73" i="2"/>
  <c r="N73" i="2" s="1"/>
  <c r="L72" i="2"/>
  <c r="M72" i="2" s="1"/>
  <c r="N71" i="2"/>
  <c r="L71" i="2"/>
  <c r="M71" i="2" s="1"/>
  <c r="L70" i="2"/>
  <c r="M70" i="2" s="1"/>
  <c r="L69" i="2"/>
  <c r="L68" i="2"/>
  <c r="M67" i="2"/>
  <c r="N67" i="2" s="1"/>
  <c r="L67" i="2"/>
  <c r="N66" i="2"/>
  <c r="M66" i="2"/>
  <c r="L66" i="2"/>
  <c r="M65" i="2"/>
  <c r="L65" i="2"/>
  <c r="N65" i="2" s="1"/>
  <c r="L64" i="2"/>
  <c r="N63" i="2"/>
  <c r="L63" i="2"/>
  <c r="M63" i="2" s="1"/>
  <c r="L62" i="2"/>
  <c r="M62" i="2" s="1"/>
  <c r="L61" i="2"/>
  <c r="L60" i="2"/>
  <c r="M59" i="2"/>
  <c r="L59" i="2"/>
  <c r="N58" i="2"/>
  <c r="M58" i="2"/>
  <c r="L58" i="2"/>
  <c r="M57" i="2"/>
  <c r="L57" i="2"/>
  <c r="N57" i="2" s="1"/>
  <c r="L56" i="2"/>
  <c r="M56" i="2" s="1"/>
  <c r="N55" i="2"/>
  <c r="L55" i="2"/>
  <c r="M55" i="2" s="1"/>
  <c r="L54" i="2"/>
  <c r="M54" i="2" s="1"/>
  <c r="L53" i="2"/>
  <c r="L52" i="2"/>
  <c r="M51" i="2"/>
  <c r="L51" i="2"/>
  <c r="N50" i="2"/>
  <c r="M50" i="2"/>
  <c r="L50" i="2"/>
  <c r="M49" i="2"/>
  <c r="N49" i="2" s="1"/>
  <c r="L49" i="2"/>
  <c r="L48" i="2"/>
  <c r="M48" i="2" s="1"/>
  <c r="N47" i="2"/>
  <c r="L47" i="2"/>
  <c r="M47" i="2" s="1"/>
  <c r="L46" i="2"/>
  <c r="M46" i="2" s="1"/>
  <c r="L45" i="2"/>
  <c r="L44" i="2"/>
  <c r="M43" i="2"/>
  <c r="L43" i="2"/>
  <c r="N42" i="2"/>
  <c r="M42" i="2"/>
  <c r="L42" i="2"/>
  <c r="M41" i="2"/>
  <c r="L41" i="2"/>
  <c r="N41" i="2" s="1"/>
  <c r="L40" i="2"/>
  <c r="M40" i="2" s="1"/>
  <c r="N39" i="2"/>
  <c r="L39" i="2"/>
  <c r="M39" i="2" s="1"/>
  <c r="L38" i="2"/>
  <c r="M38" i="2" s="1"/>
  <c r="L37" i="2"/>
  <c r="L36" i="2"/>
  <c r="M35" i="2"/>
  <c r="L35" i="2"/>
  <c r="N34" i="2"/>
  <c r="M34" i="2"/>
  <c r="L34" i="2"/>
  <c r="M33" i="2"/>
  <c r="L33" i="2"/>
  <c r="N33" i="2" s="1"/>
  <c r="L32" i="2"/>
  <c r="N31" i="2"/>
  <c r="L31" i="2"/>
  <c r="M31" i="2" s="1"/>
  <c r="L30" i="2"/>
  <c r="M30" i="2" s="1"/>
  <c r="L29" i="2"/>
  <c r="L28" i="2"/>
  <c r="M27" i="2"/>
  <c r="L27" i="2"/>
  <c r="N26" i="2"/>
  <c r="M26" i="2"/>
  <c r="L26" i="2"/>
  <c r="M25" i="2"/>
  <c r="L25" i="2"/>
  <c r="N25" i="2" s="1"/>
  <c r="L24" i="2"/>
  <c r="M24" i="2" s="1"/>
  <c r="N23" i="2"/>
  <c r="L23" i="2"/>
  <c r="M23" i="2" s="1"/>
  <c r="L22" i="2"/>
  <c r="M22" i="2" s="1"/>
  <c r="L21" i="2"/>
  <c r="L20" i="2"/>
  <c r="M19" i="2"/>
  <c r="L19" i="2"/>
  <c r="N18" i="2"/>
  <c r="M18" i="2"/>
  <c r="L18" i="2"/>
  <c r="M17" i="2"/>
  <c r="N17" i="2" s="1"/>
  <c r="L17" i="2"/>
  <c r="L16" i="2"/>
  <c r="M16" i="2" s="1"/>
  <c r="N15" i="2"/>
  <c r="L15" i="2"/>
  <c r="M15" i="2" s="1"/>
  <c r="L14" i="2"/>
  <c r="M14" i="2" s="1"/>
  <c r="L13" i="2"/>
  <c r="L12" i="2"/>
  <c r="M11" i="2"/>
  <c r="L11" i="2"/>
  <c r="N10" i="2"/>
  <c r="M10" i="2"/>
  <c r="L10" i="2"/>
  <c r="M9" i="2"/>
  <c r="N9" i="2" s="1"/>
  <c r="L9" i="2"/>
  <c r="L8" i="2"/>
  <c r="M8" i="2" s="1"/>
  <c r="L7" i="2"/>
  <c r="M7" i="2" s="1"/>
  <c r="N7" i="2" s="1"/>
  <c r="L6" i="2"/>
  <c r="M6" i="2" s="1"/>
  <c r="L5" i="2"/>
  <c r="L4" i="2"/>
  <c r="M3" i="2"/>
  <c r="L3" i="2"/>
  <c r="M332" i="1"/>
  <c r="N332" i="1" s="1"/>
  <c r="O332" i="1" s="1"/>
  <c r="M331" i="1"/>
  <c r="M330" i="1"/>
  <c r="N330" i="1" s="1"/>
  <c r="M329" i="1"/>
  <c r="N329" i="1" s="1"/>
  <c r="M328" i="1"/>
  <c r="N328" i="1" s="1"/>
  <c r="M327" i="1"/>
  <c r="N327" i="1" s="1"/>
  <c r="M326" i="1"/>
  <c r="N326" i="1" s="1"/>
  <c r="M325" i="1"/>
  <c r="N325" i="1" s="1"/>
  <c r="O325" i="1" s="1"/>
  <c r="M324" i="1"/>
  <c r="N324" i="1" s="1"/>
  <c r="O324" i="1" s="1"/>
  <c r="O323" i="1"/>
  <c r="M323" i="1"/>
  <c r="N323" i="1" s="1"/>
  <c r="M322" i="1"/>
  <c r="N322" i="1" s="1"/>
  <c r="M321" i="1"/>
  <c r="N321" i="1" s="1"/>
  <c r="M320" i="1"/>
  <c r="N320" i="1" s="1"/>
  <c r="M319" i="1"/>
  <c r="N319" i="1" s="1"/>
  <c r="M318" i="1"/>
  <c r="N318" i="1" s="1"/>
  <c r="M317" i="1"/>
  <c r="M316" i="1"/>
  <c r="M315" i="1"/>
  <c r="N315" i="1" s="1"/>
  <c r="O315" i="1" s="1"/>
  <c r="M314" i="1"/>
  <c r="N314" i="1" s="1"/>
  <c r="O314" i="1" s="1"/>
  <c r="M313" i="1"/>
  <c r="M312" i="1"/>
  <c r="N312" i="1" s="1"/>
  <c r="M311" i="1"/>
  <c r="N311" i="1" s="1"/>
  <c r="O311" i="1" s="1"/>
  <c r="M310" i="1"/>
  <c r="M309" i="1"/>
  <c r="M308" i="1"/>
  <c r="M307" i="1"/>
  <c r="N307" i="1" s="1"/>
  <c r="O307" i="1" s="1"/>
  <c r="M306" i="1"/>
  <c r="N306" i="1" s="1"/>
  <c r="O306" i="1" s="1"/>
  <c r="M305" i="1"/>
  <c r="M304" i="1"/>
  <c r="N304" i="1" s="1"/>
  <c r="O304" i="1" s="1"/>
  <c r="M303" i="1"/>
  <c r="N303" i="1" s="1"/>
  <c r="O303" i="1" s="1"/>
  <c r="M302" i="1"/>
  <c r="M301" i="1"/>
  <c r="M300" i="1"/>
  <c r="M299" i="1"/>
  <c r="M298" i="1"/>
  <c r="N298" i="1" s="1"/>
  <c r="O298" i="1" s="1"/>
  <c r="M297" i="1"/>
  <c r="M296" i="1"/>
  <c r="N296" i="1" s="1"/>
  <c r="O296" i="1" s="1"/>
  <c r="M295" i="1"/>
  <c r="N295" i="1" s="1"/>
  <c r="O295" i="1" s="1"/>
  <c r="M294" i="1"/>
  <c r="M293" i="1"/>
  <c r="M292" i="1"/>
  <c r="M291" i="1"/>
  <c r="M290" i="1"/>
  <c r="N290" i="1" s="1"/>
  <c r="O290" i="1" s="1"/>
  <c r="M289" i="1"/>
  <c r="M288" i="1"/>
  <c r="N288" i="1" s="1"/>
  <c r="O288" i="1" s="1"/>
  <c r="M287" i="1"/>
  <c r="N287" i="1" s="1"/>
  <c r="O287" i="1" s="1"/>
  <c r="M286" i="1"/>
  <c r="M285" i="1"/>
  <c r="M284" i="1"/>
  <c r="M283" i="1"/>
  <c r="N283" i="1" s="1"/>
  <c r="O283" i="1" s="1"/>
  <c r="M282" i="1"/>
  <c r="N282" i="1" s="1"/>
  <c r="O282" i="1" s="1"/>
  <c r="M281" i="1"/>
  <c r="M280" i="1"/>
  <c r="N280" i="1" s="1"/>
  <c r="M279" i="1"/>
  <c r="N279" i="1" s="1"/>
  <c r="O279" i="1" s="1"/>
  <c r="M278" i="1"/>
  <c r="M277" i="1"/>
  <c r="N277" i="1" s="1"/>
  <c r="M276" i="1"/>
  <c r="M275" i="1"/>
  <c r="N275" i="1" s="1"/>
  <c r="O275" i="1" s="1"/>
  <c r="M274" i="1"/>
  <c r="N274" i="1" s="1"/>
  <c r="O274" i="1" s="1"/>
  <c r="M273" i="1"/>
  <c r="N273" i="1" s="1"/>
  <c r="M272" i="1"/>
  <c r="N272" i="1" s="1"/>
  <c r="O272" i="1" s="1"/>
  <c r="M271" i="1"/>
  <c r="N271" i="1" s="1"/>
  <c r="O271" i="1" s="1"/>
  <c r="M270" i="1"/>
  <c r="N270" i="1" s="1"/>
  <c r="M269" i="1"/>
  <c r="N269" i="1" s="1"/>
  <c r="M268" i="1"/>
  <c r="M267" i="1"/>
  <c r="N267" i="1" s="1"/>
  <c r="O267" i="1" s="1"/>
  <c r="M266" i="1"/>
  <c r="N266" i="1" s="1"/>
  <c r="O266" i="1" s="1"/>
  <c r="M265" i="1"/>
  <c r="M264" i="1"/>
  <c r="N264" i="1" s="1"/>
  <c r="O264" i="1" s="1"/>
  <c r="M263" i="1"/>
  <c r="M262" i="1"/>
  <c r="M261" i="1"/>
  <c r="N261" i="1" s="1"/>
  <c r="M260" i="1"/>
  <c r="M259" i="1"/>
  <c r="M258" i="1"/>
  <c r="M257" i="1"/>
  <c r="M256" i="1"/>
  <c r="M255" i="1"/>
  <c r="M254" i="1"/>
  <c r="N254" i="1" s="1"/>
  <c r="O254" i="1" s="1"/>
  <c r="M253" i="1"/>
  <c r="M252" i="1"/>
  <c r="M251" i="1"/>
  <c r="M250" i="1"/>
  <c r="N250" i="1" s="1"/>
  <c r="O250" i="1" s="1"/>
  <c r="M249" i="1"/>
  <c r="N249" i="1" s="1"/>
  <c r="M248" i="1"/>
  <c r="M247" i="1"/>
  <c r="N247" i="1" s="1"/>
  <c r="O247" i="1" s="1"/>
  <c r="M246" i="1"/>
  <c r="N246" i="1" s="1"/>
  <c r="O246" i="1" s="1"/>
  <c r="M245" i="1"/>
  <c r="N245" i="1" s="1"/>
  <c r="O245" i="1" s="1"/>
  <c r="M244" i="1"/>
  <c r="M243" i="1"/>
  <c r="N243" i="1" s="1"/>
  <c r="M242" i="1"/>
  <c r="N242" i="1" s="1"/>
  <c r="O242" i="1" s="1"/>
  <c r="M241" i="1"/>
  <c r="M240" i="1"/>
  <c r="N240" i="1" s="1"/>
  <c r="M239" i="1"/>
  <c r="M238" i="1"/>
  <c r="M237" i="1"/>
  <c r="N237" i="1" s="1"/>
  <c r="O237" i="1" s="1"/>
  <c r="M236" i="1"/>
  <c r="N236" i="1" s="1"/>
  <c r="M235" i="1"/>
  <c r="M234" i="1"/>
  <c r="N234" i="1" s="1"/>
  <c r="O234" i="1" s="1"/>
  <c r="M233" i="1"/>
  <c r="N232" i="1"/>
  <c r="O232" i="1" s="1"/>
  <c r="M232" i="1"/>
  <c r="M231" i="1"/>
  <c r="M230" i="1"/>
  <c r="M229" i="1"/>
  <c r="N229" i="1" s="1"/>
  <c r="O229" i="1" s="1"/>
  <c r="M228" i="1"/>
  <c r="N228" i="1" s="1"/>
  <c r="M227" i="1"/>
  <c r="N227" i="1" s="1"/>
  <c r="O227" i="1" s="1"/>
  <c r="N226" i="1"/>
  <c r="M226" i="1"/>
  <c r="M225" i="1"/>
  <c r="N225" i="1" s="1"/>
  <c r="M224" i="1"/>
  <c r="N224" i="1" s="1"/>
  <c r="O224" i="1" s="1"/>
  <c r="M223" i="1"/>
  <c r="N223" i="1" s="1"/>
  <c r="M222" i="1"/>
  <c r="N222" i="1" s="1"/>
  <c r="O222" i="1" s="1"/>
  <c r="M221" i="1"/>
  <c r="M220" i="1"/>
  <c r="N220" i="1" s="1"/>
  <c r="M219" i="1"/>
  <c r="N219" i="1" s="1"/>
  <c r="O219" i="1" s="1"/>
  <c r="M218" i="1"/>
  <c r="M217" i="1"/>
  <c r="N217" i="1" s="1"/>
  <c r="O217" i="1" s="1"/>
  <c r="M216" i="1"/>
  <c r="N216" i="1" s="1"/>
  <c r="O216" i="1" s="1"/>
  <c r="M215" i="1"/>
  <c r="M214" i="1"/>
  <c r="N214" i="1" s="1"/>
  <c r="O214" i="1" s="1"/>
  <c r="M213" i="1"/>
  <c r="M212" i="1"/>
  <c r="N212" i="1" s="1"/>
  <c r="O212" i="1" s="1"/>
  <c r="M211" i="1"/>
  <c r="N211" i="1" s="1"/>
  <c r="O211" i="1" s="1"/>
  <c r="M210" i="1"/>
  <c r="N210" i="1" s="1"/>
  <c r="M209" i="1"/>
  <c r="N209" i="1" s="1"/>
  <c r="M208" i="1"/>
  <c r="M207" i="1"/>
  <c r="M206" i="1"/>
  <c r="M205" i="1"/>
  <c r="M204" i="1"/>
  <c r="N204" i="1" s="1"/>
  <c r="M203" i="1"/>
  <c r="M202" i="1"/>
  <c r="M201" i="1"/>
  <c r="N201" i="1" s="1"/>
  <c r="O200" i="1"/>
  <c r="M200" i="1"/>
  <c r="N200" i="1" s="1"/>
  <c r="M199" i="1"/>
  <c r="M198" i="1"/>
  <c r="N198" i="1" s="1"/>
  <c r="M197" i="1"/>
  <c r="M196" i="1"/>
  <c r="N195" i="1"/>
  <c r="O195" i="1" s="1"/>
  <c r="M195" i="1"/>
  <c r="M194" i="1"/>
  <c r="M193" i="1"/>
  <c r="M192" i="1"/>
  <c r="N192" i="1" s="1"/>
  <c r="M191" i="1"/>
  <c r="M190" i="1"/>
  <c r="M189" i="1"/>
  <c r="N188" i="1"/>
  <c r="M188" i="1"/>
  <c r="M187" i="1"/>
  <c r="M186" i="1"/>
  <c r="M185" i="1"/>
  <c r="N185" i="1" s="1"/>
  <c r="M184" i="1"/>
  <c r="N184" i="1" s="1"/>
  <c r="M183" i="1"/>
  <c r="M182" i="1"/>
  <c r="N182" i="1" s="1"/>
  <c r="M181" i="1"/>
  <c r="M180" i="1"/>
  <c r="M179" i="1"/>
  <c r="N179" i="1" s="1"/>
  <c r="O179" i="1" s="1"/>
  <c r="M178" i="1"/>
  <c r="M177" i="1"/>
  <c r="M176" i="1"/>
  <c r="N176" i="1" s="1"/>
  <c r="M175" i="1"/>
  <c r="M174" i="1"/>
  <c r="M173" i="1"/>
  <c r="M172" i="1"/>
  <c r="M171" i="1"/>
  <c r="N171" i="1" s="1"/>
  <c r="M170" i="1"/>
  <c r="M169" i="1"/>
  <c r="M168" i="1"/>
  <c r="N168" i="1" s="1"/>
  <c r="O168" i="1" s="1"/>
  <c r="M167" i="1"/>
  <c r="N167" i="1" s="1"/>
  <c r="M166" i="1"/>
  <c r="M165" i="1"/>
  <c r="M164" i="1"/>
  <c r="M163" i="1"/>
  <c r="N163" i="1" s="1"/>
  <c r="O163" i="1" s="1"/>
  <c r="M162" i="1"/>
  <c r="N162" i="1" s="1"/>
  <c r="M161" i="1"/>
  <c r="M160" i="1"/>
  <c r="N160" i="1" s="1"/>
  <c r="O160" i="1" s="1"/>
  <c r="M159" i="1"/>
  <c r="N159" i="1" s="1"/>
  <c r="O159" i="1" s="1"/>
  <c r="M158" i="1"/>
  <c r="M157" i="1"/>
  <c r="M156" i="1"/>
  <c r="M155" i="1"/>
  <c r="N155" i="1" s="1"/>
  <c r="O155" i="1" s="1"/>
  <c r="M154" i="1"/>
  <c r="N154" i="1" s="1"/>
  <c r="M153" i="1"/>
  <c r="M152" i="1"/>
  <c r="N152" i="1" s="1"/>
  <c r="O152" i="1" s="1"/>
  <c r="M151" i="1"/>
  <c r="M150" i="1"/>
  <c r="M149" i="1"/>
  <c r="M148" i="1"/>
  <c r="M147" i="1"/>
  <c r="N147" i="1" s="1"/>
  <c r="O147" i="1" s="1"/>
  <c r="M146" i="1"/>
  <c r="N146" i="1" s="1"/>
  <c r="M145" i="1"/>
  <c r="N144" i="1"/>
  <c r="M144" i="1"/>
  <c r="M143" i="1"/>
  <c r="N143" i="1" s="1"/>
  <c r="M142" i="1"/>
  <c r="N142" i="1" s="1"/>
  <c r="M141" i="1"/>
  <c r="M140" i="1"/>
  <c r="N140" i="1" s="1"/>
  <c r="O140" i="1" s="1"/>
  <c r="M139" i="1"/>
  <c r="N139" i="1" s="1"/>
  <c r="O139" i="1" s="1"/>
  <c r="M138" i="1"/>
  <c r="M137" i="1"/>
  <c r="N137" i="1" s="1"/>
  <c r="O137" i="1" s="1"/>
  <c r="M136" i="1"/>
  <c r="M135" i="1"/>
  <c r="M134" i="1"/>
  <c r="N134" i="1" s="1"/>
  <c r="M133" i="1"/>
  <c r="M132" i="1"/>
  <c r="N132" i="1" s="1"/>
  <c r="O132" i="1" s="1"/>
  <c r="M131" i="1"/>
  <c r="N131" i="1" s="1"/>
  <c r="O131" i="1" s="1"/>
  <c r="M130" i="1"/>
  <c r="M129" i="1"/>
  <c r="N129" i="1" s="1"/>
  <c r="M128" i="1"/>
  <c r="N128" i="1" s="1"/>
  <c r="O128" i="1" s="1"/>
  <c r="M127" i="1"/>
  <c r="M126" i="1"/>
  <c r="N126" i="1" s="1"/>
  <c r="O126" i="1" s="1"/>
  <c r="M125" i="1"/>
  <c r="M124" i="1"/>
  <c r="N124" i="1" s="1"/>
  <c r="O124" i="1" s="1"/>
  <c r="M123" i="1"/>
  <c r="N123" i="1" s="1"/>
  <c r="O123" i="1" s="1"/>
  <c r="M122" i="1"/>
  <c r="M121" i="1"/>
  <c r="M120" i="1"/>
  <c r="N120" i="1" s="1"/>
  <c r="O120" i="1" s="1"/>
  <c r="M119" i="1"/>
  <c r="N119" i="1" s="1"/>
  <c r="O119" i="1" s="1"/>
  <c r="M118" i="1"/>
  <c r="M117" i="1"/>
  <c r="M116" i="1"/>
  <c r="N116" i="1" s="1"/>
  <c r="O116" i="1" s="1"/>
  <c r="M115" i="1"/>
  <c r="N115" i="1" s="1"/>
  <c r="M114" i="1"/>
  <c r="M113" i="1"/>
  <c r="M112" i="1"/>
  <c r="N112" i="1" s="1"/>
  <c r="O112" i="1" s="1"/>
  <c r="M111" i="1"/>
  <c r="N111" i="1" s="1"/>
  <c r="O111" i="1" s="1"/>
  <c r="M110" i="1"/>
  <c r="M109" i="1"/>
  <c r="M108" i="1"/>
  <c r="N108" i="1" s="1"/>
  <c r="O108" i="1" s="1"/>
  <c r="M107" i="1"/>
  <c r="N107" i="1" s="1"/>
  <c r="M106" i="1"/>
  <c r="M105" i="1"/>
  <c r="M104" i="1"/>
  <c r="N104" i="1" s="1"/>
  <c r="O104" i="1" s="1"/>
  <c r="M103" i="1"/>
  <c r="M102" i="1"/>
  <c r="M101" i="1"/>
  <c r="M100" i="1"/>
  <c r="N100" i="1" s="1"/>
  <c r="O100" i="1" s="1"/>
  <c r="M99" i="1"/>
  <c r="N99" i="1" s="1"/>
  <c r="M98" i="1"/>
  <c r="M97" i="1"/>
  <c r="M96" i="1"/>
  <c r="N96" i="1" s="1"/>
  <c r="O96" i="1" s="1"/>
  <c r="M95" i="1"/>
  <c r="N95" i="1" s="1"/>
  <c r="O95" i="1" s="1"/>
  <c r="M94" i="1"/>
  <c r="M93" i="1"/>
  <c r="M92" i="1"/>
  <c r="N92" i="1" s="1"/>
  <c r="O92" i="1" s="1"/>
  <c r="N91" i="1"/>
  <c r="M91" i="1"/>
  <c r="M90" i="1"/>
  <c r="N90" i="1" s="1"/>
  <c r="M89" i="1"/>
  <c r="M88" i="1"/>
  <c r="N88" i="1" s="1"/>
  <c r="O88" i="1" s="1"/>
  <c r="M87" i="1"/>
  <c r="N87" i="1" s="1"/>
  <c r="O87" i="1" s="1"/>
  <c r="M86" i="1"/>
  <c r="M85" i="1"/>
  <c r="M84" i="1"/>
  <c r="N84" i="1" s="1"/>
  <c r="O84" i="1" s="1"/>
  <c r="M83" i="1"/>
  <c r="N83" i="1" s="1"/>
  <c r="M82" i="1"/>
  <c r="M81" i="1"/>
  <c r="M80" i="1"/>
  <c r="N80" i="1" s="1"/>
  <c r="M79" i="1"/>
  <c r="N79" i="1" s="1"/>
  <c r="M78" i="1"/>
  <c r="M77" i="1"/>
  <c r="M76" i="1"/>
  <c r="N76" i="1" s="1"/>
  <c r="O76" i="1" s="1"/>
  <c r="M75" i="1"/>
  <c r="N75" i="1" s="1"/>
  <c r="M74" i="1"/>
  <c r="M73" i="1"/>
  <c r="M72" i="1"/>
  <c r="N72" i="1" s="1"/>
  <c r="O72" i="1" s="1"/>
  <c r="M71" i="1"/>
  <c r="N71" i="1" s="1"/>
  <c r="O71" i="1" s="1"/>
  <c r="M70" i="1"/>
  <c r="M69" i="1"/>
  <c r="M68" i="1"/>
  <c r="N68" i="1" s="1"/>
  <c r="O68" i="1" s="1"/>
  <c r="M67" i="1"/>
  <c r="N67" i="1" s="1"/>
  <c r="M66" i="1"/>
  <c r="M65" i="1"/>
  <c r="M64" i="1"/>
  <c r="N64" i="1" s="1"/>
  <c r="O64" i="1" s="1"/>
  <c r="M63" i="1"/>
  <c r="N63" i="1" s="1"/>
  <c r="O63" i="1" s="1"/>
  <c r="M62" i="1"/>
  <c r="M61" i="1"/>
  <c r="M60" i="1"/>
  <c r="N60" i="1" s="1"/>
  <c r="O60" i="1" s="1"/>
  <c r="M59" i="1"/>
  <c r="M58" i="1"/>
  <c r="N58" i="1" s="1"/>
  <c r="M57" i="1"/>
  <c r="M56" i="1"/>
  <c r="N56" i="1" s="1"/>
  <c r="M55" i="1"/>
  <c r="N55" i="1" s="1"/>
  <c r="O55" i="1" s="1"/>
  <c r="M54" i="1"/>
  <c r="M53" i="1"/>
  <c r="M52" i="1"/>
  <c r="N52" i="1" s="1"/>
  <c r="O52" i="1" s="1"/>
  <c r="M51" i="1"/>
  <c r="N51" i="1" s="1"/>
  <c r="M50" i="1"/>
  <c r="M49" i="1"/>
  <c r="M48" i="1"/>
  <c r="N48" i="1" s="1"/>
  <c r="M47" i="1"/>
  <c r="N47" i="1" s="1"/>
  <c r="M46" i="1"/>
  <c r="M45" i="1"/>
  <c r="M44" i="1"/>
  <c r="N44" i="1" s="1"/>
  <c r="O44" i="1" s="1"/>
  <c r="M43" i="1"/>
  <c r="M42" i="1"/>
  <c r="M41" i="1"/>
  <c r="M40" i="1"/>
  <c r="N40" i="1" s="1"/>
  <c r="O40" i="1" s="1"/>
  <c r="M39" i="1"/>
  <c r="N39" i="1" s="1"/>
  <c r="O39" i="1" s="1"/>
  <c r="M38" i="1"/>
  <c r="M37" i="1"/>
  <c r="M36" i="1"/>
  <c r="N36" i="1" s="1"/>
  <c r="O36" i="1" s="1"/>
  <c r="M35" i="1"/>
  <c r="N35" i="1" s="1"/>
  <c r="M34" i="1"/>
  <c r="N34" i="1" s="1"/>
  <c r="M33" i="1"/>
  <c r="N33" i="1" s="1"/>
  <c r="O33" i="1" s="1"/>
  <c r="M32" i="1"/>
  <c r="N32" i="1" s="1"/>
  <c r="O32" i="1" s="1"/>
  <c r="M31" i="1"/>
  <c r="N31" i="1" s="1"/>
  <c r="M30" i="1"/>
  <c r="M29" i="1"/>
  <c r="M28" i="1"/>
  <c r="N28" i="1" s="1"/>
  <c r="O28" i="1" s="1"/>
  <c r="M27" i="1"/>
  <c r="M26" i="1"/>
  <c r="M25" i="1"/>
  <c r="N25" i="1" s="1"/>
  <c r="O25" i="1" s="1"/>
  <c r="M24" i="1"/>
  <c r="N24" i="1" s="1"/>
  <c r="O24" i="1" s="1"/>
  <c r="M23" i="1"/>
  <c r="N23" i="1" s="1"/>
  <c r="O23" i="1" s="1"/>
  <c r="M22" i="1"/>
  <c r="M21" i="1"/>
  <c r="M20" i="1"/>
  <c r="N20" i="1" s="1"/>
  <c r="O20" i="1" s="1"/>
  <c r="M19" i="1"/>
  <c r="M18" i="1"/>
  <c r="N18" i="1" s="1"/>
  <c r="M17" i="1"/>
  <c r="N17" i="1" s="1"/>
  <c r="O17" i="1" s="1"/>
  <c r="M16" i="1"/>
  <c r="N16" i="1" s="1"/>
  <c r="O16" i="1" s="1"/>
  <c r="M15" i="1"/>
  <c r="N15" i="1" s="1"/>
  <c r="O15" i="1" s="1"/>
  <c r="M14" i="1"/>
  <c r="M13" i="1"/>
  <c r="N13" i="1" s="1"/>
  <c r="M12" i="1"/>
  <c r="N12" i="1" s="1"/>
  <c r="M11" i="1"/>
  <c r="N11" i="1" s="1"/>
  <c r="O11" i="1" s="1"/>
  <c r="M10" i="1"/>
  <c r="M9" i="1"/>
  <c r="M8" i="1"/>
  <c r="N8" i="1" s="1"/>
  <c r="M7" i="1"/>
  <c r="N7" i="1" s="1"/>
  <c r="M6" i="1"/>
  <c r="N6" i="1" s="1"/>
  <c r="M5" i="1"/>
  <c r="N5" i="1" s="1"/>
  <c r="O5" i="1" s="1"/>
  <c r="M4" i="1"/>
  <c r="M3" i="1"/>
  <c r="N3" i="1" s="1"/>
  <c r="O312" i="1" l="1"/>
  <c r="O184" i="1"/>
  <c r="O80" i="1"/>
  <c r="O228" i="1"/>
  <c r="O79" i="1"/>
  <c r="O255" i="1"/>
  <c r="O319" i="1"/>
  <c r="O176" i="1"/>
  <c r="O192" i="1"/>
  <c r="O258" i="1"/>
  <c r="N263" i="1"/>
  <c r="O263" i="1" s="1"/>
  <c r="O269" i="1"/>
  <c r="O144" i="1"/>
  <c r="O171" i="1"/>
  <c r="N187" i="1"/>
  <c r="O187" i="1" s="1"/>
  <c r="O225" i="1"/>
  <c r="N258" i="1"/>
  <c r="N255" i="1"/>
  <c r="O129" i="1"/>
  <c r="O209" i="1"/>
  <c r="N239" i="1"/>
  <c r="O239" i="1" s="1"/>
  <c r="O103" i="1"/>
  <c r="O291" i="1"/>
  <c r="O91" i="1"/>
  <c r="N103" i="1"/>
  <c r="O134" i="1"/>
  <c r="O143" i="1"/>
  <c r="O223" i="1"/>
  <c r="N291" i="1"/>
  <c r="O115" i="1"/>
  <c r="O201" i="1"/>
  <c r="O51" i="1"/>
  <c r="O56" i="1"/>
  <c r="O75" i="1"/>
  <c r="O182" i="1"/>
  <c r="N136" i="1"/>
  <c r="O136" i="1" s="1"/>
  <c r="N203" i="1"/>
  <c r="O203" i="1" s="1"/>
  <c r="N208" i="1"/>
  <c r="O208" i="1" s="1"/>
  <c r="O261" i="1"/>
  <c r="N299" i="1"/>
  <c r="O299" i="1" s="1"/>
  <c r="O320" i="1"/>
  <c r="O328" i="1"/>
  <c r="O167" i="1"/>
  <c r="O270" i="1"/>
  <c r="N19" i="1"/>
  <c r="O19" i="1" s="1"/>
  <c r="O31" i="1"/>
  <c r="O47" i="1"/>
  <c r="O188" i="1"/>
  <c r="O99" i="1"/>
  <c r="O198" i="1"/>
  <c r="N10" i="1"/>
  <c r="O10" i="1" s="1"/>
  <c r="N41" i="1"/>
  <c r="O41" i="1" s="1"/>
  <c r="O6" i="1"/>
  <c r="N59" i="1"/>
  <c r="O59" i="1" s="1"/>
  <c r="O83" i="1"/>
  <c r="O107" i="1"/>
  <c r="N151" i="1"/>
  <c r="O151" i="1" s="1"/>
  <c r="O204" i="1"/>
  <c r="O220" i="1"/>
  <c r="O277" i="1"/>
  <c r="O7" i="1"/>
  <c r="O12" i="1"/>
  <c r="N27" i="1"/>
  <c r="O27" i="1" s="1"/>
  <c r="N43" i="1"/>
  <c r="O43" i="1" s="1"/>
  <c r="O48" i="1"/>
  <c r="O67" i="1"/>
  <c r="O185" i="1"/>
  <c r="O243" i="1"/>
  <c r="O318" i="1"/>
  <c r="O322" i="1"/>
  <c r="N331" i="1"/>
  <c r="O331" i="1" s="1"/>
  <c r="O3" i="1"/>
  <c r="N181" i="1"/>
  <c r="O181" i="1" s="1"/>
  <c r="N191" i="1"/>
  <c r="O191" i="1" s="1"/>
  <c r="N260" i="1"/>
  <c r="O260" i="1" s="1"/>
  <c r="N297" i="1"/>
  <c r="O297" i="1" s="1"/>
  <c r="M32" i="2"/>
  <c r="N32" i="2"/>
  <c r="M96" i="2"/>
  <c r="N96" i="2" s="1"/>
  <c r="N54" i="1"/>
  <c r="O54" i="1" s="1"/>
  <c r="N207" i="1"/>
  <c r="O207" i="1" s="1"/>
  <c r="N285" i="1"/>
  <c r="O285" i="1" s="1"/>
  <c r="N77" i="1"/>
  <c r="O77" i="1" s="1"/>
  <c r="N251" i="1"/>
  <c r="O251" i="1" s="1"/>
  <c r="N281" i="1"/>
  <c r="O281" i="1" s="1"/>
  <c r="N309" i="1"/>
  <c r="O309" i="1" s="1"/>
  <c r="M13" i="2"/>
  <c r="N13" i="2" s="1"/>
  <c r="M77" i="2"/>
  <c r="N77" i="2" s="1"/>
  <c r="N37" i="1"/>
  <c r="O37" i="1" s="1"/>
  <c r="N50" i="1"/>
  <c r="O50" i="1" s="1"/>
  <c r="N150" i="1"/>
  <c r="O150" i="1" s="1"/>
  <c r="N69" i="1"/>
  <c r="O69" i="1" s="1"/>
  <c r="N101" i="1"/>
  <c r="O101" i="1" s="1"/>
  <c r="N145" i="1"/>
  <c r="O145" i="1" s="1"/>
  <c r="N194" i="1"/>
  <c r="O194" i="1" s="1"/>
  <c r="N199" i="1"/>
  <c r="O199" i="1" s="1"/>
  <c r="N235" i="1"/>
  <c r="O235" i="1" s="1"/>
  <c r="N253" i="1"/>
  <c r="O253" i="1" s="1"/>
  <c r="N293" i="1"/>
  <c r="O293" i="1" s="1"/>
  <c r="M64" i="2"/>
  <c r="N64" i="2" s="1"/>
  <c r="N85" i="1"/>
  <c r="O85" i="1" s="1"/>
  <c r="N114" i="1"/>
  <c r="O114" i="1" s="1"/>
  <c r="N197" i="1"/>
  <c r="O197" i="1" s="1"/>
  <c r="N202" i="1"/>
  <c r="O202" i="1" s="1"/>
  <c r="N109" i="1"/>
  <c r="O109" i="1" s="1"/>
  <c r="N161" i="1"/>
  <c r="O161" i="1" s="1"/>
  <c r="N4" i="1"/>
  <c r="O4" i="1" s="1"/>
  <c r="N82" i="1"/>
  <c r="O82" i="1" s="1"/>
  <c r="N183" i="1"/>
  <c r="O183" i="1" s="1"/>
  <c r="N257" i="1"/>
  <c r="O257" i="1" s="1"/>
  <c r="N305" i="1"/>
  <c r="O305" i="1" s="1"/>
  <c r="N156" i="1"/>
  <c r="O156" i="1" s="1"/>
  <c r="N9" i="1"/>
  <c r="O9" i="1" s="1"/>
  <c r="O13" i="1"/>
  <c r="N21" i="1"/>
  <c r="O21" i="1" s="1"/>
  <c r="N30" i="1"/>
  <c r="O30" i="1" s="1"/>
  <c r="O34" i="1"/>
  <c r="N42" i="1"/>
  <c r="O42" i="1" s="1"/>
  <c r="O65" i="1"/>
  <c r="N70" i="1"/>
  <c r="O70" i="1" s="1"/>
  <c r="N74" i="1"/>
  <c r="O74" i="1" s="1"/>
  <c r="N102" i="1"/>
  <c r="O102" i="1" s="1"/>
  <c r="N106" i="1"/>
  <c r="O106" i="1" s="1"/>
  <c r="N122" i="1"/>
  <c r="O122" i="1" s="1"/>
  <c r="O142" i="1"/>
  <c r="N173" i="1"/>
  <c r="O173" i="1" s="1"/>
  <c r="O240" i="1"/>
  <c r="N248" i="1"/>
  <c r="O248" i="1" s="1"/>
  <c r="N289" i="1"/>
  <c r="O289" i="1" s="1"/>
  <c r="N316" i="1"/>
  <c r="O316" i="1" s="1"/>
  <c r="N53" i="1"/>
  <c r="O53" i="1" s="1"/>
  <c r="O90" i="1"/>
  <c r="N170" i="1"/>
  <c r="O170" i="1" s="1"/>
  <c r="N186" i="1"/>
  <c r="O186" i="1" s="1"/>
  <c r="N86" i="1"/>
  <c r="O86" i="1" s="1"/>
  <c r="N148" i="1"/>
  <c r="O148" i="1" s="1"/>
  <c r="N45" i="1"/>
  <c r="O45" i="1" s="1"/>
  <c r="N178" i="1"/>
  <c r="O178" i="1" s="1"/>
  <c r="N29" i="1"/>
  <c r="O29" i="1" s="1"/>
  <c r="N93" i="1"/>
  <c r="O93" i="1" s="1"/>
  <c r="N158" i="1"/>
  <c r="O158" i="1" s="1"/>
  <c r="N189" i="1"/>
  <c r="O189" i="1" s="1"/>
  <c r="M45" i="2"/>
  <c r="N45" i="2" s="1"/>
  <c r="M109" i="2"/>
  <c r="N109" i="2" s="1"/>
  <c r="O58" i="1"/>
  <c r="N166" i="1"/>
  <c r="O166" i="1" s="1"/>
  <c r="N238" i="1"/>
  <c r="O238" i="1" s="1"/>
  <c r="O8" i="1"/>
  <c r="N46" i="1"/>
  <c r="O46" i="1" s="1"/>
  <c r="N78" i="1"/>
  <c r="O78" i="1" s="1"/>
  <c r="N110" i="1"/>
  <c r="O110" i="1" s="1"/>
  <c r="N231" i="1"/>
  <c r="O231" i="1" s="1"/>
  <c r="N262" i="1"/>
  <c r="O262" i="1" s="1"/>
  <c r="N38" i="1"/>
  <c r="O38" i="1" s="1"/>
  <c r="N22" i="1"/>
  <c r="O22" i="1" s="1"/>
  <c r="N61" i="1"/>
  <c r="O61" i="1" s="1"/>
  <c r="N14" i="1"/>
  <c r="O14" i="1" s="1"/>
  <c r="O18" i="1"/>
  <c r="N26" i="1"/>
  <c r="O26" i="1" s="1"/>
  <c r="O35" i="1"/>
  <c r="N62" i="1"/>
  <c r="O62" i="1" s="1"/>
  <c r="N66" i="1"/>
  <c r="O66" i="1" s="1"/>
  <c r="N94" i="1"/>
  <c r="O94" i="1" s="1"/>
  <c r="N98" i="1"/>
  <c r="O98" i="1" s="1"/>
  <c r="N118" i="1"/>
  <c r="O118" i="1" s="1"/>
  <c r="N153" i="1"/>
  <c r="O153" i="1" s="1"/>
  <c r="N164" i="1"/>
  <c r="O164" i="1" s="1"/>
  <c r="N175" i="1"/>
  <c r="O175" i="1" s="1"/>
  <c r="N205" i="1"/>
  <c r="O205" i="1" s="1"/>
  <c r="N301" i="1"/>
  <c r="O301" i="1" s="1"/>
  <c r="M29" i="2"/>
  <c r="N29" i="2" s="1"/>
  <c r="M61" i="2"/>
  <c r="N61" i="2" s="1"/>
  <c r="M93" i="2"/>
  <c r="N93" i="2" s="1"/>
  <c r="N124" i="2"/>
  <c r="M124" i="2"/>
  <c r="M132" i="2"/>
  <c r="N132" i="2" s="1"/>
  <c r="M136" i="2"/>
  <c r="N136" i="2"/>
  <c r="M180" i="2"/>
  <c r="N180" i="2" s="1"/>
  <c r="N197" i="2"/>
  <c r="M197" i="2"/>
  <c r="O210" i="1"/>
  <c r="N213" i="1"/>
  <c r="O213" i="1" s="1"/>
  <c r="O226" i="1"/>
  <c r="O273" i="1"/>
  <c r="N276" i="1"/>
  <c r="O276" i="1" s="1"/>
  <c r="O327" i="1"/>
  <c r="N16" i="2"/>
  <c r="M20" i="2"/>
  <c r="N20" i="2" s="1"/>
  <c r="N48" i="2"/>
  <c r="M52" i="2"/>
  <c r="N52" i="2" s="1"/>
  <c r="N80" i="2"/>
  <c r="M84" i="2"/>
  <c r="N84" i="2" s="1"/>
  <c r="N112" i="2"/>
  <c r="N116" i="2"/>
  <c r="M116" i="2"/>
  <c r="N181" i="2"/>
  <c r="N184" i="2"/>
  <c r="M188" i="2"/>
  <c r="N188" i="2" s="1"/>
  <c r="M312" i="2"/>
  <c r="N312" i="2" s="1"/>
  <c r="N125" i="1"/>
  <c r="O125" i="1" s="1"/>
  <c r="N117" i="1"/>
  <c r="O117" i="1" s="1"/>
  <c r="N135" i="1"/>
  <c r="O135" i="1" s="1"/>
  <c r="N141" i="1"/>
  <c r="O141" i="1" s="1"/>
  <c r="N169" i="1"/>
  <c r="O169" i="1" s="1"/>
  <c r="N172" i="1"/>
  <c r="O172" i="1" s="1"/>
  <c r="M21" i="2"/>
  <c r="N21" i="2" s="1"/>
  <c r="N53" i="2"/>
  <c r="M53" i="2"/>
  <c r="M85" i="2"/>
  <c r="N85" i="2" s="1"/>
  <c r="M117" i="2"/>
  <c r="N117" i="2" s="1"/>
  <c r="N189" i="2"/>
  <c r="M189" i="2"/>
  <c r="M204" i="2"/>
  <c r="N204" i="2" s="1"/>
  <c r="N138" i="1"/>
  <c r="O138" i="1" s="1"/>
  <c r="O154" i="1"/>
  <c r="N157" i="1"/>
  <c r="O157" i="1" s="1"/>
  <c r="O249" i="1"/>
  <c r="N252" i="1"/>
  <c r="O252" i="1" s="1"/>
  <c r="O280" i="1"/>
  <c r="N284" i="1"/>
  <c r="O284" i="1" s="1"/>
  <c r="N292" i="1"/>
  <c r="O292" i="1" s="1"/>
  <c r="N300" i="1"/>
  <c r="O300" i="1" s="1"/>
  <c r="N308" i="1"/>
  <c r="O308" i="1" s="1"/>
  <c r="N8" i="2"/>
  <c r="N12" i="2"/>
  <c r="M12" i="2"/>
  <c r="N40" i="2"/>
  <c r="N44" i="2"/>
  <c r="M44" i="2"/>
  <c r="N72" i="2"/>
  <c r="M76" i="2"/>
  <c r="N76" i="2" s="1"/>
  <c r="N104" i="2"/>
  <c r="M108" i="2"/>
  <c r="N108" i="2" s="1"/>
  <c r="M173" i="2"/>
  <c r="N173" i="2" s="1"/>
  <c r="M200" i="2"/>
  <c r="N200" i="2" s="1"/>
  <c r="N205" i="2"/>
  <c r="M213" i="2"/>
  <c r="N213" i="2" s="1"/>
  <c r="N256" i="2"/>
  <c r="M256" i="2"/>
  <c r="N260" i="2"/>
  <c r="M260" i="2"/>
  <c r="M252" i="2"/>
  <c r="N252" i="2" s="1"/>
  <c r="N261" i="2"/>
  <c r="M261" i="2"/>
  <c r="M174" i="2"/>
  <c r="N174" i="2"/>
  <c r="N133" i="1"/>
  <c r="O133" i="1" s="1"/>
  <c r="N221" i="1"/>
  <c r="O221" i="1" s="1"/>
  <c r="N268" i="1"/>
  <c r="O268" i="1" s="1"/>
  <c r="N317" i="1"/>
  <c r="O317" i="1" s="1"/>
  <c r="O321" i="1"/>
  <c r="N36" i="2"/>
  <c r="M36" i="2"/>
  <c r="N68" i="2"/>
  <c r="M68" i="2"/>
  <c r="M100" i="2"/>
  <c r="N100" i="2" s="1"/>
  <c r="M248" i="2"/>
  <c r="N248" i="2" s="1"/>
  <c r="N320" i="2"/>
  <c r="M320" i="2"/>
  <c r="N49" i="1"/>
  <c r="O49" i="1" s="1"/>
  <c r="N57" i="1"/>
  <c r="O57" i="1" s="1"/>
  <c r="N65" i="1"/>
  <c r="N73" i="1"/>
  <c r="O73" i="1" s="1"/>
  <c r="N81" i="1"/>
  <c r="O81" i="1" s="1"/>
  <c r="N89" i="1"/>
  <c r="O89" i="1" s="1"/>
  <c r="N97" i="1"/>
  <c r="O97" i="1" s="1"/>
  <c r="N105" i="1"/>
  <c r="O105" i="1" s="1"/>
  <c r="N113" i="1"/>
  <c r="O113" i="1" s="1"/>
  <c r="N121" i="1"/>
  <c r="O121" i="1" s="1"/>
  <c r="N127" i="1"/>
  <c r="O127" i="1" s="1"/>
  <c r="N130" i="1"/>
  <c r="O130" i="1" s="1"/>
  <c r="N174" i="1"/>
  <c r="O174" i="1" s="1"/>
  <c r="N177" i="1"/>
  <c r="O177" i="1" s="1"/>
  <c r="N180" i="1"/>
  <c r="O180" i="1" s="1"/>
  <c r="N190" i="1"/>
  <c r="O190" i="1" s="1"/>
  <c r="N193" i="1"/>
  <c r="O193" i="1" s="1"/>
  <c r="N196" i="1"/>
  <c r="O196" i="1" s="1"/>
  <c r="N206" i="1"/>
  <c r="O206" i="1" s="1"/>
  <c r="N215" i="1"/>
  <c r="O215" i="1" s="1"/>
  <c r="N218" i="1"/>
  <c r="O218" i="1" s="1"/>
  <c r="N230" i="1"/>
  <c r="O230" i="1" s="1"/>
  <c r="N233" i="1"/>
  <c r="O233" i="1" s="1"/>
  <c r="N244" i="1"/>
  <c r="O244" i="1" s="1"/>
  <c r="N256" i="1"/>
  <c r="O256" i="1" s="1"/>
  <c r="N259" i="1"/>
  <c r="O259" i="1" s="1"/>
  <c r="N265" i="1"/>
  <c r="O265" i="1" s="1"/>
  <c r="N278" i="1"/>
  <c r="O278" i="1" s="1"/>
  <c r="N286" i="1"/>
  <c r="O286" i="1" s="1"/>
  <c r="N294" i="1"/>
  <c r="O294" i="1" s="1"/>
  <c r="N302" i="1"/>
  <c r="O302" i="1" s="1"/>
  <c r="N310" i="1"/>
  <c r="O310" i="1" s="1"/>
  <c r="N313" i="1"/>
  <c r="O313" i="1" s="1"/>
  <c r="M4" i="2"/>
  <c r="N4" i="2" s="1"/>
  <c r="N37" i="2"/>
  <c r="M37" i="2"/>
  <c r="N69" i="2"/>
  <c r="M69" i="2"/>
  <c r="M101" i="2"/>
  <c r="N101" i="2" s="1"/>
  <c r="M268" i="2"/>
  <c r="N268" i="2" s="1"/>
  <c r="N277" i="2"/>
  <c r="M325" i="2"/>
  <c r="N325" i="2" s="1"/>
  <c r="O146" i="1"/>
  <c r="N149" i="1"/>
  <c r="O149" i="1" s="1"/>
  <c r="O162" i="1"/>
  <c r="N165" i="1"/>
  <c r="O165" i="1" s="1"/>
  <c r="O236" i="1"/>
  <c r="N241" i="1"/>
  <c r="O241" i="1" s="1"/>
  <c r="O330" i="1"/>
  <c r="N5" i="2"/>
  <c r="M5" i="2"/>
  <c r="N24" i="2"/>
  <c r="M28" i="2"/>
  <c r="N28" i="2" s="1"/>
  <c r="N56" i="2"/>
  <c r="N60" i="2"/>
  <c r="M60" i="2"/>
  <c r="N88" i="2"/>
  <c r="M92" i="2"/>
  <c r="N92" i="2" s="1"/>
  <c r="M192" i="2"/>
  <c r="N192" i="2" s="1"/>
  <c r="N196" i="2"/>
  <c r="M196" i="2"/>
  <c r="M264" i="2"/>
  <c r="N264" i="2" s="1"/>
  <c r="N269" i="2"/>
  <c r="M277" i="2"/>
  <c r="N153" i="2"/>
  <c r="N157" i="2"/>
  <c r="N164" i="2"/>
  <c r="M164" i="2"/>
  <c r="N179" i="2"/>
  <c r="N216" i="2"/>
  <c r="M216" i="2"/>
  <c r="M220" i="2"/>
  <c r="N220" i="2" s="1"/>
  <c r="N280" i="2"/>
  <c r="M280" i="2"/>
  <c r="M284" i="2"/>
  <c r="N284" i="2" s="1"/>
  <c r="M328" i="2"/>
  <c r="N328" i="2" s="1"/>
  <c r="O326" i="1"/>
  <c r="O329" i="1"/>
  <c r="N3" i="2"/>
  <c r="N11" i="2"/>
  <c r="N19" i="2"/>
  <c r="N27" i="2"/>
  <c r="N35" i="2"/>
  <c r="N43" i="2"/>
  <c r="N51" i="2"/>
  <c r="N59" i="2"/>
  <c r="N75" i="2"/>
  <c r="N91" i="2"/>
  <c r="N99" i="2"/>
  <c r="N107" i="2"/>
  <c r="N115" i="2"/>
  <c r="N161" i="2"/>
  <c r="N165" i="2"/>
  <c r="N172" i="2"/>
  <c r="M172" i="2"/>
  <c r="N187" i="2"/>
  <c r="N208" i="2"/>
  <c r="M208" i="2"/>
  <c r="M212" i="2"/>
  <c r="N212" i="2" s="1"/>
  <c r="N221" i="2"/>
  <c r="M229" i="2"/>
  <c r="N229" i="2" s="1"/>
  <c r="N272" i="2"/>
  <c r="M272" i="2"/>
  <c r="N276" i="2"/>
  <c r="M276" i="2"/>
  <c r="N285" i="2"/>
  <c r="M293" i="2"/>
  <c r="N293" i="2" s="1"/>
  <c r="N125" i="2"/>
  <c r="N133" i="2"/>
  <c r="N140" i="2"/>
  <c r="M140" i="2"/>
  <c r="N155" i="2"/>
  <c r="M240" i="2"/>
  <c r="N240" i="2" s="1"/>
  <c r="M244" i="2"/>
  <c r="N244" i="2" s="1"/>
  <c r="N253" i="2"/>
  <c r="N304" i="2"/>
  <c r="M304" i="2"/>
  <c r="N308" i="2"/>
  <c r="M308" i="2"/>
  <c r="N317" i="2"/>
  <c r="M148" i="2"/>
  <c r="N148" i="2" s="1"/>
  <c r="N232" i="2"/>
  <c r="M232" i="2"/>
  <c r="N236" i="2"/>
  <c r="M236" i="2"/>
  <c r="M296" i="2"/>
  <c r="N296" i="2" s="1"/>
  <c r="N300" i="2"/>
  <c r="M300" i="2"/>
  <c r="N309" i="2"/>
  <c r="N6" i="2"/>
  <c r="N14" i="2"/>
  <c r="N22" i="2"/>
  <c r="N30" i="2"/>
  <c r="N38" i="2"/>
  <c r="N46" i="2"/>
  <c r="N54" i="2"/>
  <c r="N62" i="2"/>
  <c r="N70" i="2"/>
  <c r="N78" i="2"/>
  <c r="N86" i="2"/>
  <c r="N94" i="2"/>
  <c r="N102" i="2"/>
  <c r="N110" i="2"/>
  <c r="N118" i="2"/>
  <c r="M141" i="2"/>
  <c r="N141" i="2" s="1"/>
  <c r="N149" i="2"/>
  <c r="N152" i="2"/>
  <c r="M156" i="2"/>
  <c r="N156" i="2" s="1"/>
  <c r="N171" i="2"/>
  <c r="N190" i="2"/>
  <c r="M224" i="2"/>
  <c r="N224" i="2" s="1"/>
  <c r="M228" i="2"/>
  <c r="N228" i="2" s="1"/>
  <c r="N237" i="2"/>
  <c r="M245" i="2"/>
  <c r="N245" i="2" s="1"/>
  <c r="N288" i="2"/>
  <c r="M288" i="2"/>
  <c r="M292" i="2"/>
  <c r="N292" i="2" s="1"/>
  <c r="N301" i="2"/>
  <c r="M309" i="2"/>
  <c r="M331" i="2"/>
  <c r="N331" i="2" s="1"/>
  <c r="M316" i="2"/>
  <c r="N316" i="2" s="1"/>
  <c r="M324" i="2"/>
  <c r="N324" i="2" s="1"/>
  <c r="M332" i="2"/>
  <c r="N332" i="2" s="1"/>
</calcChain>
</file>

<file path=xl/sharedStrings.xml><?xml version="1.0" encoding="utf-8"?>
<sst xmlns="http://schemas.openxmlformats.org/spreadsheetml/2006/main" count="2400" uniqueCount="77">
  <si>
    <t>Fish Metadata</t>
  </si>
  <si>
    <t>Vert #</t>
  </si>
  <si>
    <t>Slicer Vert Data</t>
  </si>
  <si>
    <t>Phantom Data</t>
  </si>
  <si>
    <t>BMD (auto-calculated)</t>
  </si>
  <si>
    <t>Scan</t>
  </si>
  <si>
    <t>Individual</t>
  </si>
  <si>
    <t>Length</t>
  </si>
  <si>
    <t>Vert</t>
  </si>
  <si>
    <t>Min</t>
  </si>
  <si>
    <t>Max</t>
  </si>
  <si>
    <t>Mean</t>
  </si>
  <si>
    <t>Median</t>
  </si>
  <si>
    <t>StDev</t>
  </si>
  <si>
    <t>Phantom25</t>
  </si>
  <si>
    <t>Phantom75</t>
  </si>
  <si>
    <t>Slope</t>
  </si>
  <si>
    <t>Intercept</t>
  </si>
  <si>
    <t>BMD</t>
  </si>
  <si>
    <t>APersonatus_1_13um_3k</t>
  </si>
  <si>
    <t>Triangle</t>
  </si>
  <si>
    <t>Front 1</t>
  </si>
  <si>
    <t>Front 2</t>
  </si>
  <si>
    <t>Front 3</t>
  </si>
  <si>
    <t>Front 4</t>
  </si>
  <si>
    <t>Front 5</t>
  </si>
  <si>
    <t>Middle 1</t>
  </si>
  <si>
    <t>Middle 2</t>
  </si>
  <si>
    <t>Middle 3</t>
  </si>
  <si>
    <t>Middle 4</t>
  </si>
  <si>
    <t>Middle 5</t>
  </si>
  <si>
    <t>Back 1</t>
  </si>
  <si>
    <t>Back 2</t>
  </si>
  <si>
    <t>Back 3</t>
  </si>
  <si>
    <t>Back 4</t>
  </si>
  <si>
    <t>Back 5</t>
  </si>
  <si>
    <t>Circle</t>
  </si>
  <si>
    <t>Apersonatus_6_20um_NF</t>
  </si>
  <si>
    <t>Square</t>
  </si>
  <si>
    <t>AHexapterus_9_18um_Al1</t>
  </si>
  <si>
    <t xml:space="preserve">Front 1 </t>
  </si>
  <si>
    <t>Apersonatus_11b_20um_NF</t>
  </si>
  <si>
    <t>Oval</t>
  </si>
  <si>
    <t>APersonatus_11_20um_NF</t>
  </si>
  <si>
    <t>APersonatus_15_35um_NF</t>
  </si>
  <si>
    <t>Apersonatus_21_40um_NF</t>
  </si>
  <si>
    <t>Apersonatus_22_37um_NF</t>
  </si>
  <si>
    <t>I in square</t>
  </si>
  <si>
    <t>Apersonatus_15b_35um_NF</t>
  </si>
  <si>
    <t>Comma</t>
  </si>
  <si>
    <t>Apersonatus_3_22um_1k_Al1</t>
  </si>
  <si>
    <t>V in square</t>
  </si>
  <si>
    <t xml:space="preserve">Middle 1 </t>
  </si>
  <si>
    <t xml:space="preserve">Back 1 </t>
  </si>
  <si>
    <t>L</t>
  </si>
  <si>
    <t>Apersonatus_15_22um_1K_NF</t>
  </si>
  <si>
    <t>T</t>
  </si>
  <si>
    <t>M</t>
  </si>
  <si>
    <t>Apersonatus_1_10um_NF_3k</t>
  </si>
  <si>
    <t>Apersonatus_21a_35um_NF</t>
  </si>
  <si>
    <t>Circle in Square</t>
  </si>
  <si>
    <t>Apersonatus_15_35um_NF</t>
  </si>
  <si>
    <t>Rectangle</t>
  </si>
  <si>
    <t>APersonatus_11_70um_NF</t>
  </si>
  <si>
    <t>Species</t>
  </si>
  <si>
    <t>Collection</t>
  </si>
  <si>
    <t>Standard Length (mm)</t>
  </si>
  <si>
    <t>Resolution (um)</t>
  </si>
  <si>
    <t>Exposure (ms)</t>
  </si>
  <si>
    <t>Voltage (kV)</t>
  </si>
  <si>
    <t>Current (uA)</t>
  </si>
  <si>
    <t>Ammodytes personatus</t>
  </si>
  <si>
    <t>Friday Harbor, WA</t>
  </si>
  <si>
    <t>Age Class</t>
  </si>
  <si>
    <t>Juvenile</t>
  </si>
  <si>
    <t>Young Adult</t>
  </si>
  <si>
    <t>Adult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</si>
</sst>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4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b/>
      <sz val="13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2"/>
      <color rgb="FF555555"/>
      <name val="&quot;Twemoji Country Flags&quot;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&quot;Aptos Narrow&quot;"/>
    </font>
    <font>
      <sz val="12"/>
      <color theme="1"/>
      <name val="Aptos Narrow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</fills>
  <borders count="11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4" fillId="4" borderId="0" xfId="0" applyFont="1" applyFill="1"/>
    <xf numFmtId="0" fontId="3" fillId="5" borderId="0" xfId="0" applyFont="1" applyFill="1"/>
    <xf numFmtId="0" fontId="3" fillId="5" borderId="1" xfId="0" applyFont="1" applyFill="1" applyBorder="1"/>
    <xf numFmtId="0" fontId="3" fillId="6" borderId="0" xfId="0" applyFont="1" applyFill="1"/>
    <xf numFmtId="164" fontId="3" fillId="4" borderId="1" xfId="0" applyNumberFormat="1" applyFont="1" applyFill="1" applyBorder="1"/>
    <xf numFmtId="164" fontId="3" fillId="4" borderId="2" xfId="0" applyNumberFormat="1" applyFont="1" applyFill="1" applyBorder="1"/>
    <xf numFmtId="0" fontId="5" fillId="0" borderId="0" xfId="0" applyFont="1"/>
    <xf numFmtId="0" fontId="3" fillId="5" borderId="3" xfId="0" applyFont="1" applyFill="1" applyBorder="1"/>
    <xf numFmtId="0" fontId="3" fillId="7" borderId="0" xfId="0" applyFont="1" applyFill="1"/>
    <xf numFmtId="0" fontId="3" fillId="7" borderId="1" xfId="0" applyFont="1" applyFill="1" applyBorder="1"/>
    <xf numFmtId="0" fontId="3" fillId="7" borderId="3" xfId="0" applyFont="1" applyFill="1" applyBorder="1"/>
    <xf numFmtId="0" fontId="3" fillId="8" borderId="0" xfId="0" applyFont="1" applyFill="1"/>
    <xf numFmtId="0" fontId="3" fillId="8" borderId="1" xfId="0" applyFont="1" applyFill="1" applyBorder="1"/>
    <xf numFmtId="0" fontId="3" fillId="8" borderId="3" xfId="0" applyFont="1" applyFill="1" applyBorder="1"/>
    <xf numFmtId="0" fontId="3" fillId="5" borderId="4" xfId="0" applyFont="1" applyFill="1" applyBorder="1"/>
    <xf numFmtId="0" fontId="3" fillId="6" borderId="1" xfId="0" applyFont="1" applyFill="1" applyBorder="1"/>
    <xf numFmtId="0" fontId="3" fillId="5" borderId="5" xfId="0" applyFont="1" applyFill="1" applyBorder="1"/>
    <xf numFmtId="164" fontId="3" fillId="4" borderId="0" xfId="0" applyNumberFormat="1" applyFont="1" applyFill="1"/>
    <xf numFmtId="164" fontId="3" fillId="4" borderId="6" xfId="0" applyNumberFormat="1" applyFont="1" applyFill="1" applyBorder="1"/>
    <xf numFmtId="0" fontId="3" fillId="5" borderId="7" xfId="0" applyFont="1" applyFill="1" applyBorder="1"/>
    <xf numFmtId="164" fontId="3" fillId="4" borderId="3" xfId="0" applyNumberFormat="1" applyFont="1" applyFill="1" applyBorder="1"/>
    <xf numFmtId="164" fontId="3" fillId="4" borderId="8" xfId="0" applyNumberFormat="1" applyFont="1" applyFill="1" applyBorder="1"/>
    <xf numFmtId="0" fontId="3" fillId="7" borderId="4" xfId="0" applyFont="1" applyFill="1" applyBorder="1"/>
    <xf numFmtId="0" fontId="3" fillId="7" borderId="5" xfId="0" applyFont="1" applyFill="1" applyBorder="1"/>
    <xf numFmtId="0" fontId="6" fillId="7" borderId="0" xfId="0" applyFont="1" applyFill="1"/>
    <xf numFmtId="0" fontId="3" fillId="7" borderId="7" xfId="0" applyFont="1" applyFill="1" applyBorder="1"/>
    <xf numFmtId="0" fontId="3" fillId="8" borderId="4" xfId="0" applyFont="1" applyFill="1" applyBorder="1"/>
    <xf numFmtId="0" fontId="3" fillId="8" borderId="5" xfId="0" applyFont="1" applyFill="1" applyBorder="1"/>
    <xf numFmtId="0" fontId="3" fillId="8" borderId="7" xfId="0" applyFont="1" applyFill="1" applyBorder="1"/>
    <xf numFmtId="0" fontId="7" fillId="5" borderId="0" xfId="0" applyFont="1" applyFill="1" applyAlignment="1">
      <alignment horizontal="right"/>
    </xf>
    <xf numFmtId="0" fontId="7" fillId="7" borderId="0" xfId="0" applyFont="1" applyFill="1" applyAlignment="1">
      <alignment horizontal="right"/>
    </xf>
    <xf numFmtId="0" fontId="3" fillId="9" borderId="0" xfId="0" applyFont="1" applyFill="1"/>
    <xf numFmtId="0" fontId="7" fillId="9" borderId="0" xfId="0" applyFont="1" applyFill="1" applyAlignment="1">
      <alignment horizontal="right"/>
    </xf>
    <xf numFmtId="0" fontId="8" fillId="5" borderId="0" xfId="0" applyFont="1" applyFill="1"/>
    <xf numFmtId="0" fontId="8" fillId="7" borderId="0" xfId="0" applyFont="1" applyFill="1"/>
    <xf numFmtId="0" fontId="3" fillId="10" borderId="0" xfId="0" applyFont="1" applyFill="1"/>
    <xf numFmtId="0" fontId="8" fillId="10" borderId="0" xfId="0" applyFont="1" applyFill="1"/>
    <xf numFmtId="0" fontId="8" fillId="5" borderId="0" xfId="0" applyFont="1" applyFill="1" applyAlignment="1">
      <alignment horizontal="right"/>
    </xf>
    <xf numFmtId="0" fontId="8" fillId="7" borderId="0" xfId="0" applyFont="1" applyFill="1" applyAlignment="1">
      <alignment horizontal="right"/>
    </xf>
    <xf numFmtId="0" fontId="8" fillId="9" borderId="0" xfId="0" applyFont="1" applyFill="1" applyAlignment="1">
      <alignment horizontal="right"/>
    </xf>
    <xf numFmtId="0" fontId="5" fillId="6" borderId="0" xfId="0" applyFont="1" applyFill="1"/>
    <xf numFmtId="0" fontId="9" fillId="7" borderId="0" xfId="0" applyFont="1" applyFill="1" applyAlignment="1">
      <alignment horizontal="right"/>
    </xf>
    <xf numFmtId="0" fontId="8" fillId="6" borderId="0" xfId="0" applyFont="1" applyFill="1" applyAlignment="1">
      <alignment horizontal="right"/>
    </xf>
    <xf numFmtId="0" fontId="10" fillId="7" borderId="0" xfId="0" applyFont="1" applyFill="1" applyAlignment="1">
      <alignment horizontal="right"/>
    </xf>
    <xf numFmtId="0" fontId="8" fillId="8" borderId="0" xfId="0" applyFont="1" applyFill="1"/>
    <xf numFmtId="0" fontId="8" fillId="8" borderId="0" xfId="0" applyFont="1" applyFill="1" applyAlignment="1">
      <alignment horizontal="right"/>
    </xf>
    <xf numFmtId="0" fontId="5" fillId="3" borderId="0" xfId="0" applyFont="1" applyFill="1"/>
    <xf numFmtId="0" fontId="11" fillId="0" borderId="9" xfId="0" applyFont="1" applyBorder="1"/>
    <xf numFmtId="0" fontId="11" fillId="0" borderId="9" xfId="0" applyFont="1" applyBorder="1" applyAlignment="1">
      <alignment horizontal="center"/>
    </xf>
    <xf numFmtId="0" fontId="12" fillId="0" borderId="10" xfId="0" applyFont="1" applyBorder="1"/>
    <xf numFmtId="0" fontId="13" fillId="0" borderId="10" xfId="0" applyFont="1" applyBorder="1"/>
    <xf numFmtId="0" fontId="13" fillId="0" borderId="5" xfId="0" applyFont="1" applyBorder="1"/>
    <xf numFmtId="0" fontId="13" fillId="0" borderId="10" xfId="0" applyFont="1" applyBorder="1" applyAlignment="1">
      <alignment horizontal="right"/>
    </xf>
    <xf numFmtId="0" fontId="13" fillId="0" borderId="5" xfId="0" applyFont="1" applyBorder="1" applyAlignment="1">
      <alignment horizontal="right"/>
    </xf>
    <xf numFmtId="0" fontId="12" fillId="0" borderId="6" xfId="0" applyFont="1" applyBorder="1"/>
    <xf numFmtId="0" fontId="11" fillId="0" borderId="0" xfId="0" applyFont="1"/>
    <xf numFmtId="0" fontId="1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/>
    <xf numFmtId="0" fontId="1" fillId="5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5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9" borderId="0" xfId="0" applyFont="1" applyFill="1"/>
    <xf numFmtId="0" fontId="1" fillId="1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030"/>
  <sheetViews>
    <sheetView tabSelected="1" zoomScale="75" workbookViewId="0">
      <selection activeCell="C333" sqref="C333"/>
    </sheetView>
  </sheetViews>
  <sheetFormatPr baseColWidth="10" defaultColWidth="12.6640625" defaultRowHeight="15.75" customHeight="1"/>
  <cols>
    <col min="1" max="1" width="29" customWidth="1"/>
    <col min="2" max="3" width="15.1640625" customWidth="1"/>
    <col min="4" max="4" width="8" customWidth="1"/>
    <col min="5" max="5" width="9.5" customWidth="1"/>
    <col min="6" max="10" width="8.5" customWidth="1"/>
    <col min="11" max="11" width="11.6640625" customWidth="1"/>
    <col min="12" max="12" width="12.1640625" customWidth="1"/>
    <col min="13" max="13" width="8.33203125" customWidth="1"/>
    <col min="14" max="14" width="9.5" customWidth="1"/>
    <col min="15" max="15" width="7.83203125" customWidth="1"/>
  </cols>
  <sheetData>
    <row r="1" spans="1:17" ht="17">
      <c r="A1" s="62" t="s">
        <v>0</v>
      </c>
      <c r="B1" s="63"/>
      <c r="C1" s="63"/>
      <c r="D1" s="63"/>
      <c r="E1" s="1" t="s">
        <v>1</v>
      </c>
      <c r="F1" s="62" t="s">
        <v>2</v>
      </c>
      <c r="G1" s="63"/>
      <c r="H1" s="63"/>
      <c r="I1" s="63"/>
      <c r="J1" s="63"/>
      <c r="K1" s="62" t="s">
        <v>3</v>
      </c>
      <c r="L1" s="63"/>
      <c r="M1" s="62" t="s">
        <v>4</v>
      </c>
      <c r="N1" s="63"/>
      <c r="O1" s="63"/>
      <c r="P1" s="2"/>
    </row>
    <row r="2" spans="1:17" ht="16">
      <c r="A2" s="3" t="s">
        <v>5</v>
      </c>
      <c r="B2" s="3" t="s">
        <v>6</v>
      </c>
      <c r="C2" s="3" t="s">
        <v>73</v>
      </c>
      <c r="D2" s="3" t="s">
        <v>7</v>
      </c>
      <c r="E2" s="3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3" t="s">
        <v>14</v>
      </c>
      <c r="L2" s="3" t="s">
        <v>15</v>
      </c>
      <c r="M2" s="5" t="s">
        <v>16</v>
      </c>
      <c r="N2" s="5" t="s">
        <v>17</v>
      </c>
      <c r="O2" s="5" t="s">
        <v>18</v>
      </c>
      <c r="P2" s="2"/>
    </row>
    <row r="3" spans="1:17" ht="16">
      <c r="A3" s="6" t="s">
        <v>19</v>
      </c>
      <c r="B3" s="6" t="s">
        <v>20</v>
      </c>
      <c r="C3" s="64" t="s">
        <v>74</v>
      </c>
      <c r="D3" s="6">
        <v>33</v>
      </c>
      <c r="E3" s="7" t="s">
        <v>21</v>
      </c>
      <c r="F3" s="6">
        <v>16383</v>
      </c>
      <c r="G3" s="6">
        <v>50151</v>
      </c>
      <c r="H3" s="6">
        <v>24395.3</v>
      </c>
      <c r="I3" s="6">
        <v>23434</v>
      </c>
      <c r="J3" s="6">
        <v>5843.11</v>
      </c>
      <c r="K3" s="8">
        <v>13204.9</v>
      </c>
      <c r="L3" s="8">
        <v>33508.400000000001</v>
      </c>
      <c r="M3" s="9">
        <f t="shared" ref="M3:M257" si="0">(75-25)/(L3-K3)</f>
        <v>2.4626295958824831E-3</v>
      </c>
      <c r="N3" s="9">
        <f t="shared" ref="N3:N257" si="1">25-K3*M3</f>
        <v>-7.5187775506686023</v>
      </c>
      <c r="O3" s="10">
        <f>M3*H3+N3</f>
        <v>52.557810229763334</v>
      </c>
      <c r="P3" s="2"/>
      <c r="Q3" s="11"/>
    </row>
    <row r="4" spans="1:17" ht="16">
      <c r="A4" s="6" t="s">
        <v>19</v>
      </c>
      <c r="B4" s="6" t="s">
        <v>20</v>
      </c>
      <c r="C4" s="64" t="s">
        <v>74</v>
      </c>
      <c r="D4" s="6">
        <v>33</v>
      </c>
      <c r="E4" s="6" t="s">
        <v>22</v>
      </c>
      <c r="F4" s="6">
        <v>16383</v>
      </c>
      <c r="G4" s="6">
        <v>43301</v>
      </c>
      <c r="H4" s="6">
        <v>23637.8</v>
      </c>
      <c r="I4" s="6">
        <v>22712</v>
      </c>
      <c r="J4" s="6">
        <v>5281.73</v>
      </c>
      <c r="K4" s="8">
        <v>13204.9</v>
      </c>
      <c r="L4" s="8">
        <v>33508.400000000001</v>
      </c>
      <c r="M4" s="9">
        <f t="shared" si="0"/>
        <v>2.4626295958824831E-3</v>
      </c>
      <c r="N4" s="9">
        <f t="shared" si="1"/>
        <v>-7.5187775506686023</v>
      </c>
      <c r="O4" s="10">
        <f t="shared" ref="O4:O257" si="2">M4*H4+N4</f>
        <v>50.692368310882358</v>
      </c>
      <c r="P4" s="2"/>
    </row>
    <row r="5" spans="1:17" ht="16">
      <c r="A5" s="6" t="s">
        <v>19</v>
      </c>
      <c r="B5" s="6" t="s">
        <v>20</v>
      </c>
      <c r="C5" s="64" t="s">
        <v>74</v>
      </c>
      <c r="D5" s="6">
        <v>33</v>
      </c>
      <c r="E5" s="6" t="s">
        <v>23</v>
      </c>
      <c r="F5" s="6">
        <v>16383</v>
      </c>
      <c r="G5" s="6">
        <v>46254</v>
      </c>
      <c r="H5" s="6">
        <v>23105.1</v>
      </c>
      <c r="I5" s="6">
        <v>22152</v>
      </c>
      <c r="J5" s="6">
        <v>5029.5</v>
      </c>
      <c r="K5" s="8">
        <v>13204.9</v>
      </c>
      <c r="L5" s="8">
        <v>33508.400000000001</v>
      </c>
      <c r="M5" s="9">
        <f t="shared" si="0"/>
        <v>2.4626295958824831E-3</v>
      </c>
      <c r="N5" s="9">
        <f t="shared" si="1"/>
        <v>-7.5187775506686023</v>
      </c>
      <c r="O5" s="10">
        <f t="shared" si="2"/>
        <v>49.380525525155754</v>
      </c>
      <c r="P5" s="2"/>
    </row>
    <row r="6" spans="1:17" ht="16">
      <c r="A6" s="6" t="s">
        <v>19</v>
      </c>
      <c r="B6" s="6" t="s">
        <v>20</v>
      </c>
      <c r="C6" s="64" t="s">
        <v>74</v>
      </c>
      <c r="D6" s="6">
        <v>33</v>
      </c>
      <c r="E6" s="6" t="s">
        <v>24</v>
      </c>
      <c r="F6" s="6">
        <v>16383</v>
      </c>
      <c r="G6" s="6">
        <v>43150</v>
      </c>
      <c r="H6" s="6">
        <v>22717</v>
      </c>
      <c r="I6" s="6">
        <v>21831</v>
      </c>
      <c r="J6" s="6">
        <v>4674.88</v>
      </c>
      <c r="K6" s="8">
        <v>13204.9</v>
      </c>
      <c r="L6" s="8">
        <v>33508.400000000001</v>
      </c>
      <c r="M6" s="9">
        <f t="shared" si="0"/>
        <v>2.4626295958824831E-3</v>
      </c>
      <c r="N6" s="9">
        <f t="shared" si="1"/>
        <v>-7.5187775506686023</v>
      </c>
      <c r="O6" s="10">
        <f t="shared" si="2"/>
        <v>48.424778978993764</v>
      </c>
      <c r="P6" s="2"/>
    </row>
    <row r="7" spans="1:17" ht="16">
      <c r="A7" s="6" t="s">
        <v>19</v>
      </c>
      <c r="B7" s="6" t="s">
        <v>20</v>
      </c>
      <c r="C7" s="64" t="s">
        <v>74</v>
      </c>
      <c r="D7" s="6">
        <v>33</v>
      </c>
      <c r="E7" s="12" t="s">
        <v>25</v>
      </c>
      <c r="F7" s="6">
        <v>16383</v>
      </c>
      <c r="G7" s="6">
        <v>42878</v>
      </c>
      <c r="H7" s="6">
        <v>21998.3</v>
      </c>
      <c r="I7" s="6">
        <v>21145</v>
      </c>
      <c r="J7" s="6">
        <v>4187.95</v>
      </c>
      <c r="K7" s="8">
        <v>13204.9</v>
      </c>
      <c r="L7" s="8">
        <v>33508.400000000001</v>
      </c>
      <c r="M7" s="9">
        <f t="shared" si="0"/>
        <v>2.4626295958824831E-3</v>
      </c>
      <c r="N7" s="9">
        <f t="shared" si="1"/>
        <v>-7.5187775506686023</v>
      </c>
      <c r="O7" s="10">
        <f t="shared" si="2"/>
        <v>46.654887088433021</v>
      </c>
      <c r="P7" s="2"/>
    </row>
    <row r="8" spans="1:17" ht="16">
      <c r="A8" s="13" t="s">
        <v>19</v>
      </c>
      <c r="B8" s="13" t="s">
        <v>20</v>
      </c>
      <c r="C8" s="65" t="s">
        <v>74</v>
      </c>
      <c r="D8" s="13">
        <v>33</v>
      </c>
      <c r="E8" s="14" t="s">
        <v>26</v>
      </c>
      <c r="F8" s="13">
        <v>12022</v>
      </c>
      <c r="G8" s="13">
        <v>41179</v>
      </c>
      <c r="H8" s="13">
        <v>18329.400000000001</v>
      </c>
      <c r="I8" s="13">
        <v>17598</v>
      </c>
      <c r="J8" s="13">
        <v>4872.3100000000004</v>
      </c>
      <c r="K8" s="8">
        <v>13204.9</v>
      </c>
      <c r="L8" s="8">
        <v>33508.400000000001</v>
      </c>
      <c r="M8" s="9">
        <f t="shared" si="0"/>
        <v>2.4626295958824831E-3</v>
      </c>
      <c r="N8" s="9">
        <f t="shared" si="1"/>
        <v>-7.5187775506686023</v>
      </c>
      <c r="O8" s="10">
        <f t="shared" si="2"/>
        <v>37.619745364099785</v>
      </c>
      <c r="P8" s="2"/>
      <c r="Q8" s="11"/>
    </row>
    <row r="9" spans="1:17" ht="16">
      <c r="A9" s="13" t="s">
        <v>19</v>
      </c>
      <c r="B9" s="13" t="s">
        <v>20</v>
      </c>
      <c r="C9" s="65" t="s">
        <v>74</v>
      </c>
      <c r="D9" s="13">
        <v>33</v>
      </c>
      <c r="E9" s="13" t="s">
        <v>27</v>
      </c>
      <c r="F9" s="13">
        <v>12022</v>
      </c>
      <c r="G9" s="13">
        <v>42339</v>
      </c>
      <c r="H9" s="13">
        <v>18407.400000000001</v>
      </c>
      <c r="I9" s="13">
        <v>17603</v>
      </c>
      <c r="J9" s="13">
        <v>4959.84</v>
      </c>
      <c r="K9" s="8">
        <v>13204.9</v>
      </c>
      <c r="L9" s="8">
        <v>33508.400000000001</v>
      </c>
      <c r="M9" s="9">
        <f t="shared" si="0"/>
        <v>2.4626295958824831E-3</v>
      </c>
      <c r="N9" s="9">
        <f t="shared" si="1"/>
        <v>-7.5187775506686023</v>
      </c>
      <c r="O9" s="10">
        <f t="shared" si="2"/>
        <v>37.81183047257862</v>
      </c>
      <c r="P9" s="2"/>
    </row>
    <row r="10" spans="1:17" ht="16">
      <c r="A10" s="13" t="s">
        <v>19</v>
      </c>
      <c r="B10" s="13" t="s">
        <v>20</v>
      </c>
      <c r="C10" s="65" t="s">
        <v>74</v>
      </c>
      <c r="D10" s="13">
        <v>33</v>
      </c>
      <c r="E10" s="13" t="s">
        <v>28</v>
      </c>
      <c r="F10" s="13">
        <v>12022</v>
      </c>
      <c r="G10" s="13">
        <v>41788</v>
      </c>
      <c r="H10" s="13">
        <v>18483.7</v>
      </c>
      <c r="I10" s="13">
        <v>17702</v>
      </c>
      <c r="J10" s="13">
        <v>5002.8500000000004</v>
      </c>
      <c r="K10" s="8">
        <v>13204.9</v>
      </c>
      <c r="L10" s="8">
        <v>33508.400000000001</v>
      </c>
      <c r="M10" s="9">
        <f t="shared" si="0"/>
        <v>2.4626295958824831E-3</v>
      </c>
      <c r="N10" s="9">
        <f t="shared" si="1"/>
        <v>-7.5187775506686023</v>
      </c>
      <c r="O10" s="10">
        <f t="shared" si="2"/>
        <v>37.999729110744454</v>
      </c>
      <c r="P10" s="2"/>
    </row>
    <row r="11" spans="1:17" ht="16">
      <c r="A11" s="13" t="s">
        <v>19</v>
      </c>
      <c r="B11" s="13" t="s">
        <v>20</v>
      </c>
      <c r="C11" s="65" t="s">
        <v>74</v>
      </c>
      <c r="D11" s="13">
        <v>33</v>
      </c>
      <c r="E11" s="13" t="s">
        <v>29</v>
      </c>
      <c r="F11" s="13">
        <v>12022</v>
      </c>
      <c r="G11" s="13">
        <v>41395</v>
      </c>
      <c r="H11" s="13">
        <v>18527.099999999999</v>
      </c>
      <c r="I11" s="13">
        <v>17523</v>
      </c>
      <c r="J11" s="13">
        <v>5208.8500000000004</v>
      </c>
      <c r="K11" s="8">
        <v>13204.9</v>
      </c>
      <c r="L11" s="8">
        <v>33508.400000000001</v>
      </c>
      <c r="M11" s="9">
        <f t="shared" si="0"/>
        <v>2.4626295958824831E-3</v>
      </c>
      <c r="N11" s="9">
        <f t="shared" si="1"/>
        <v>-7.5187775506686023</v>
      </c>
      <c r="O11" s="10">
        <f t="shared" si="2"/>
        <v>38.10660723520575</v>
      </c>
      <c r="P11" s="2"/>
    </row>
    <row r="12" spans="1:17" ht="16">
      <c r="A12" s="13" t="s">
        <v>19</v>
      </c>
      <c r="B12" s="13" t="s">
        <v>20</v>
      </c>
      <c r="C12" s="65" t="s">
        <v>74</v>
      </c>
      <c r="D12" s="13">
        <v>33</v>
      </c>
      <c r="E12" s="15" t="s">
        <v>30</v>
      </c>
      <c r="F12" s="13">
        <v>12022</v>
      </c>
      <c r="G12" s="13">
        <v>43403</v>
      </c>
      <c r="H12" s="13">
        <v>18482.599999999999</v>
      </c>
      <c r="I12" s="13">
        <v>17434</v>
      </c>
      <c r="J12" s="13">
        <v>5186.84</v>
      </c>
      <c r="K12" s="8">
        <v>13204.9</v>
      </c>
      <c r="L12" s="8">
        <v>33508.400000000001</v>
      </c>
      <c r="M12" s="9">
        <f t="shared" si="0"/>
        <v>2.4626295958824831E-3</v>
      </c>
      <c r="N12" s="9">
        <f t="shared" si="1"/>
        <v>-7.5187775506686023</v>
      </c>
      <c r="O12" s="10">
        <f t="shared" si="2"/>
        <v>37.997020218188979</v>
      </c>
      <c r="P12" s="2"/>
    </row>
    <row r="13" spans="1:17" ht="16">
      <c r="A13" s="16" t="s">
        <v>19</v>
      </c>
      <c r="B13" s="16" t="s">
        <v>20</v>
      </c>
      <c r="C13" s="66" t="s">
        <v>74</v>
      </c>
      <c r="D13" s="16">
        <v>33</v>
      </c>
      <c r="E13" s="17" t="s">
        <v>31</v>
      </c>
      <c r="F13" s="16">
        <v>18356</v>
      </c>
      <c r="G13" s="16">
        <v>53047</v>
      </c>
      <c r="H13" s="16">
        <v>25955.1</v>
      </c>
      <c r="I13" s="16">
        <v>25034</v>
      </c>
      <c r="J13" s="16">
        <v>5533.08</v>
      </c>
      <c r="K13" s="8">
        <v>13204.9</v>
      </c>
      <c r="L13" s="8">
        <v>33508.400000000001</v>
      </c>
      <c r="M13" s="9">
        <f t="shared" si="0"/>
        <v>2.4626295958824831E-3</v>
      </c>
      <c r="N13" s="9">
        <f t="shared" si="1"/>
        <v>-7.5187775506686023</v>
      </c>
      <c r="O13" s="10">
        <f t="shared" si="2"/>
        <v>56.399019873420833</v>
      </c>
      <c r="P13" s="2"/>
      <c r="Q13" s="11"/>
    </row>
    <row r="14" spans="1:17" ht="16">
      <c r="A14" s="16" t="s">
        <v>19</v>
      </c>
      <c r="B14" s="16" t="s">
        <v>20</v>
      </c>
      <c r="C14" s="66" t="s">
        <v>74</v>
      </c>
      <c r="D14" s="16">
        <v>33</v>
      </c>
      <c r="E14" s="16" t="s">
        <v>32</v>
      </c>
      <c r="F14" s="16">
        <v>18356</v>
      </c>
      <c r="G14" s="16">
        <v>54235</v>
      </c>
      <c r="H14" s="16">
        <v>26701.9</v>
      </c>
      <c r="I14" s="16">
        <v>25665</v>
      </c>
      <c r="J14" s="16">
        <v>6130.49</v>
      </c>
      <c r="K14" s="8">
        <v>13204.9</v>
      </c>
      <c r="L14" s="8">
        <v>33508.400000000001</v>
      </c>
      <c r="M14" s="9">
        <f t="shared" si="0"/>
        <v>2.4626295958824831E-3</v>
      </c>
      <c r="N14" s="9">
        <f t="shared" si="1"/>
        <v>-7.5187775506686023</v>
      </c>
      <c r="O14" s="10">
        <f t="shared" si="2"/>
        <v>58.238111655625872</v>
      </c>
      <c r="P14" s="2"/>
    </row>
    <row r="15" spans="1:17" ht="16">
      <c r="A15" s="16" t="s">
        <v>19</v>
      </c>
      <c r="B15" s="16" t="s">
        <v>20</v>
      </c>
      <c r="C15" s="66" t="s">
        <v>74</v>
      </c>
      <c r="D15" s="16">
        <v>33</v>
      </c>
      <c r="E15" s="16" t="s">
        <v>33</v>
      </c>
      <c r="F15" s="16">
        <v>18358</v>
      </c>
      <c r="G15" s="16">
        <v>56252</v>
      </c>
      <c r="H15" s="16">
        <v>27120.799999999999</v>
      </c>
      <c r="I15" s="16">
        <v>26084</v>
      </c>
      <c r="J15" s="16">
        <v>6399.12</v>
      </c>
      <c r="K15" s="8">
        <v>13204.9</v>
      </c>
      <c r="L15" s="8">
        <v>33508.400000000001</v>
      </c>
      <c r="M15" s="9">
        <f t="shared" si="0"/>
        <v>2.4626295958824831E-3</v>
      </c>
      <c r="N15" s="9">
        <f t="shared" si="1"/>
        <v>-7.5187775506686023</v>
      </c>
      <c r="O15" s="10">
        <f t="shared" si="2"/>
        <v>59.269707193341048</v>
      </c>
      <c r="P15" s="2"/>
    </row>
    <row r="16" spans="1:17" ht="16">
      <c r="A16" s="16" t="s">
        <v>19</v>
      </c>
      <c r="B16" s="16" t="s">
        <v>20</v>
      </c>
      <c r="C16" s="66" t="s">
        <v>74</v>
      </c>
      <c r="D16" s="16">
        <v>33</v>
      </c>
      <c r="E16" s="16" t="s">
        <v>34</v>
      </c>
      <c r="F16" s="16">
        <v>18356</v>
      </c>
      <c r="G16" s="16">
        <v>60903</v>
      </c>
      <c r="H16" s="16">
        <v>27760.3</v>
      </c>
      <c r="I16" s="16">
        <v>26554</v>
      </c>
      <c r="J16" s="16">
        <v>6874.25</v>
      </c>
      <c r="K16" s="8">
        <v>13204.9</v>
      </c>
      <c r="L16" s="8">
        <v>33508.400000000001</v>
      </c>
      <c r="M16" s="9">
        <f t="shared" si="0"/>
        <v>2.4626295958824831E-3</v>
      </c>
      <c r="N16" s="9">
        <f t="shared" si="1"/>
        <v>-7.5187775506686023</v>
      </c>
      <c r="O16" s="10">
        <f t="shared" si="2"/>
        <v>60.844558819907888</v>
      </c>
      <c r="P16" s="2"/>
    </row>
    <row r="17" spans="1:16" ht="16">
      <c r="A17" s="16" t="s">
        <v>19</v>
      </c>
      <c r="B17" s="16" t="s">
        <v>20</v>
      </c>
      <c r="C17" s="66" t="s">
        <v>74</v>
      </c>
      <c r="D17" s="16">
        <v>33</v>
      </c>
      <c r="E17" s="18" t="s">
        <v>35</v>
      </c>
      <c r="F17" s="16">
        <v>18356</v>
      </c>
      <c r="G17" s="16">
        <v>59668</v>
      </c>
      <c r="H17" s="16">
        <v>28570.6</v>
      </c>
      <c r="I17" s="16">
        <v>27367</v>
      </c>
      <c r="J17" s="16">
        <v>7471.21</v>
      </c>
      <c r="K17" s="8">
        <v>13204.9</v>
      </c>
      <c r="L17" s="8">
        <v>33508.400000000001</v>
      </c>
      <c r="M17" s="9">
        <f t="shared" si="0"/>
        <v>2.4626295958824831E-3</v>
      </c>
      <c r="N17" s="9">
        <f t="shared" si="1"/>
        <v>-7.5187775506686023</v>
      </c>
      <c r="O17" s="10">
        <f t="shared" si="2"/>
        <v>62.840027581451466</v>
      </c>
      <c r="P17" s="2"/>
    </row>
    <row r="18" spans="1:16" ht="16">
      <c r="A18" s="6" t="s">
        <v>19</v>
      </c>
      <c r="B18" s="6" t="s">
        <v>36</v>
      </c>
      <c r="C18" s="64" t="s">
        <v>74</v>
      </c>
      <c r="D18" s="6">
        <v>35</v>
      </c>
      <c r="E18" s="7" t="s">
        <v>21</v>
      </c>
      <c r="F18" s="6">
        <v>13612</v>
      </c>
      <c r="G18" s="6">
        <v>45574</v>
      </c>
      <c r="H18" s="6">
        <v>21234</v>
      </c>
      <c r="I18" s="6">
        <v>20172</v>
      </c>
      <c r="J18" s="6">
        <v>5877.5</v>
      </c>
      <c r="K18" s="8">
        <v>13204.9</v>
      </c>
      <c r="L18" s="8">
        <v>33508.400000000001</v>
      </c>
      <c r="M18" s="9">
        <f t="shared" si="0"/>
        <v>2.4626295958824831E-3</v>
      </c>
      <c r="N18" s="9">
        <f t="shared" si="1"/>
        <v>-7.5187775506686023</v>
      </c>
      <c r="O18" s="10">
        <f t="shared" si="2"/>
        <v>44.772699288300046</v>
      </c>
      <c r="P18" s="2"/>
    </row>
    <row r="19" spans="1:16" ht="16">
      <c r="A19" s="6" t="s">
        <v>19</v>
      </c>
      <c r="B19" s="6" t="s">
        <v>36</v>
      </c>
      <c r="C19" s="64" t="s">
        <v>74</v>
      </c>
      <c r="D19" s="6">
        <v>35</v>
      </c>
      <c r="E19" s="6" t="s">
        <v>22</v>
      </c>
      <c r="F19" s="6">
        <v>13612</v>
      </c>
      <c r="G19" s="6">
        <v>41174</v>
      </c>
      <c r="H19" s="6">
        <v>20696.900000000001</v>
      </c>
      <c r="I19" s="6">
        <v>19805</v>
      </c>
      <c r="J19" s="6">
        <v>5325.86</v>
      </c>
      <c r="K19" s="8">
        <v>13204.9</v>
      </c>
      <c r="L19" s="8">
        <v>33508.400000000001</v>
      </c>
      <c r="M19" s="9">
        <f t="shared" si="0"/>
        <v>2.4626295958824831E-3</v>
      </c>
      <c r="N19" s="9">
        <f t="shared" si="1"/>
        <v>-7.5187775506686023</v>
      </c>
      <c r="O19" s="10">
        <f t="shared" si="2"/>
        <v>43.450020932351563</v>
      </c>
      <c r="P19" s="2"/>
    </row>
    <row r="20" spans="1:16" ht="16">
      <c r="A20" s="6" t="s">
        <v>19</v>
      </c>
      <c r="B20" s="6" t="s">
        <v>36</v>
      </c>
      <c r="C20" s="64" t="s">
        <v>74</v>
      </c>
      <c r="D20" s="6">
        <v>35</v>
      </c>
      <c r="E20" s="6" t="s">
        <v>23</v>
      </c>
      <c r="F20" s="6">
        <v>13612</v>
      </c>
      <c r="G20" s="6">
        <v>43497</v>
      </c>
      <c r="H20" s="6">
        <v>20578.3</v>
      </c>
      <c r="I20" s="6">
        <v>19748</v>
      </c>
      <c r="J20" s="6">
        <v>5272.69</v>
      </c>
      <c r="K20" s="8">
        <v>13204.9</v>
      </c>
      <c r="L20" s="8">
        <v>33508.400000000001</v>
      </c>
      <c r="M20" s="9">
        <f t="shared" si="0"/>
        <v>2.4626295958824831E-3</v>
      </c>
      <c r="N20" s="9">
        <f t="shared" si="1"/>
        <v>-7.5187775506686023</v>
      </c>
      <c r="O20" s="10">
        <f t="shared" si="2"/>
        <v>43.157953062279901</v>
      </c>
      <c r="P20" s="2"/>
    </row>
    <row r="21" spans="1:16" ht="16">
      <c r="A21" s="6" t="s">
        <v>19</v>
      </c>
      <c r="B21" s="6" t="s">
        <v>36</v>
      </c>
      <c r="C21" s="64" t="s">
        <v>74</v>
      </c>
      <c r="D21" s="6">
        <v>35</v>
      </c>
      <c r="E21" s="6" t="s">
        <v>24</v>
      </c>
      <c r="F21" s="6">
        <v>13612</v>
      </c>
      <c r="G21" s="6">
        <v>40238</v>
      </c>
      <c r="H21" s="6">
        <v>19580.400000000001</v>
      </c>
      <c r="I21" s="6">
        <v>18670</v>
      </c>
      <c r="J21" s="6">
        <v>4613.5600000000004</v>
      </c>
      <c r="K21" s="8">
        <v>13204.9</v>
      </c>
      <c r="L21" s="8">
        <v>33508.400000000001</v>
      </c>
      <c r="M21" s="9">
        <f t="shared" si="0"/>
        <v>2.4626295958824831E-3</v>
      </c>
      <c r="N21" s="9">
        <f t="shared" si="1"/>
        <v>-7.5187775506686023</v>
      </c>
      <c r="O21" s="10">
        <f t="shared" si="2"/>
        <v>40.700494988548776</v>
      </c>
      <c r="P21" s="2"/>
    </row>
    <row r="22" spans="1:16" ht="16">
      <c r="A22" s="6" t="s">
        <v>19</v>
      </c>
      <c r="B22" s="6" t="s">
        <v>36</v>
      </c>
      <c r="C22" s="64" t="s">
        <v>74</v>
      </c>
      <c r="D22" s="6">
        <v>35</v>
      </c>
      <c r="E22" s="12" t="s">
        <v>25</v>
      </c>
      <c r="F22" s="6">
        <v>13612</v>
      </c>
      <c r="G22" s="6">
        <v>39755</v>
      </c>
      <c r="H22" s="6">
        <v>19342.599999999999</v>
      </c>
      <c r="I22" s="6">
        <v>18622</v>
      </c>
      <c r="J22" s="6">
        <v>4342.3</v>
      </c>
      <c r="K22" s="8">
        <v>13204.9</v>
      </c>
      <c r="L22" s="8">
        <v>33508.400000000001</v>
      </c>
      <c r="M22" s="9">
        <f t="shared" si="0"/>
        <v>2.4626295958824831E-3</v>
      </c>
      <c r="N22" s="9">
        <f t="shared" si="1"/>
        <v>-7.5187775506686023</v>
      </c>
      <c r="O22" s="10">
        <f t="shared" si="2"/>
        <v>40.114881670647911</v>
      </c>
      <c r="P22" s="2"/>
    </row>
    <row r="23" spans="1:16" ht="16">
      <c r="A23" s="13" t="s">
        <v>19</v>
      </c>
      <c r="B23" s="13" t="s">
        <v>36</v>
      </c>
      <c r="C23" s="65" t="s">
        <v>74</v>
      </c>
      <c r="D23" s="13">
        <v>35</v>
      </c>
      <c r="E23" s="14" t="s">
        <v>26</v>
      </c>
      <c r="F23" s="13">
        <v>11756</v>
      </c>
      <c r="G23" s="13">
        <v>32862</v>
      </c>
      <c r="H23" s="13">
        <v>16490.400000000001</v>
      </c>
      <c r="I23" s="13">
        <v>16137</v>
      </c>
      <c r="J23" s="13">
        <v>3417.87</v>
      </c>
      <c r="K23" s="8">
        <v>13204.9</v>
      </c>
      <c r="L23" s="8">
        <v>33508.400000000001</v>
      </c>
      <c r="M23" s="9">
        <f t="shared" si="0"/>
        <v>2.4626295958824831E-3</v>
      </c>
      <c r="N23" s="9">
        <f t="shared" si="1"/>
        <v>-7.5187775506686023</v>
      </c>
      <c r="O23" s="10">
        <f t="shared" si="2"/>
        <v>33.090969537271903</v>
      </c>
      <c r="P23" s="2"/>
    </row>
    <row r="24" spans="1:16" ht="16">
      <c r="A24" s="13" t="s">
        <v>19</v>
      </c>
      <c r="B24" s="13" t="s">
        <v>36</v>
      </c>
      <c r="C24" s="65" t="s">
        <v>74</v>
      </c>
      <c r="D24" s="13">
        <v>35</v>
      </c>
      <c r="E24" s="13" t="s">
        <v>27</v>
      </c>
      <c r="F24" s="13">
        <v>11756</v>
      </c>
      <c r="G24" s="13">
        <v>32380</v>
      </c>
      <c r="H24" s="13">
        <v>16390.7</v>
      </c>
      <c r="I24" s="13">
        <v>16067</v>
      </c>
      <c r="J24" s="13">
        <v>3325.43</v>
      </c>
      <c r="K24" s="8">
        <v>13204.9</v>
      </c>
      <c r="L24" s="8">
        <v>33508.400000000001</v>
      </c>
      <c r="M24" s="9">
        <f t="shared" si="0"/>
        <v>2.4626295958824831E-3</v>
      </c>
      <c r="N24" s="9">
        <f t="shared" si="1"/>
        <v>-7.5187775506686023</v>
      </c>
      <c r="O24" s="10">
        <f t="shared" si="2"/>
        <v>32.845445366562416</v>
      </c>
      <c r="P24" s="2"/>
    </row>
    <row r="25" spans="1:16" ht="16">
      <c r="A25" s="13" t="s">
        <v>19</v>
      </c>
      <c r="B25" s="13" t="s">
        <v>36</v>
      </c>
      <c r="C25" s="65" t="s">
        <v>74</v>
      </c>
      <c r="D25" s="13">
        <v>35</v>
      </c>
      <c r="E25" s="13" t="s">
        <v>28</v>
      </c>
      <c r="F25" s="13">
        <v>11756</v>
      </c>
      <c r="G25" s="13">
        <v>33664</v>
      </c>
      <c r="H25" s="13">
        <v>16477.5</v>
      </c>
      <c r="I25" s="13">
        <v>16092</v>
      </c>
      <c r="J25" s="13">
        <v>3454.44</v>
      </c>
      <c r="K25" s="8">
        <v>13204.9</v>
      </c>
      <c r="L25" s="8">
        <v>33508.400000000001</v>
      </c>
      <c r="M25" s="9">
        <f t="shared" si="0"/>
        <v>2.4626295958824831E-3</v>
      </c>
      <c r="N25" s="9">
        <f t="shared" si="1"/>
        <v>-7.5187775506686023</v>
      </c>
      <c r="O25" s="10">
        <f t="shared" si="2"/>
        <v>33.059201615485016</v>
      </c>
      <c r="P25" s="2"/>
    </row>
    <row r="26" spans="1:16" ht="16">
      <c r="A26" s="13" t="s">
        <v>19</v>
      </c>
      <c r="B26" s="13" t="s">
        <v>36</v>
      </c>
      <c r="C26" s="65" t="s">
        <v>74</v>
      </c>
      <c r="D26" s="13">
        <v>35</v>
      </c>
      <c r="E26" s="13" t="s">
        <v>29</v>
      </c>
      <c r="F26" s="13">
        <v>11756</v>
      </c>
      <c r="G26" s="13">
        <v>34229</v>
      </c>
      <c r="H26" s="13">
        <v>16502.5</v>
      </c>
      <c r="I26" s="13">
        <v>16092</v>
      </c>
      <c r="J26" s="13">
        <v>3498.35</v>
      </c>
      <c r="K26" s="8">
        <v>13204.9</v>
      </c>
      <c r="L26" s="8">
        <v>33508.400000000001</v>
      </c>
      <c r="M26" s="9">
        <f t="shared" si="0"/>
        <v>2.4626295958824831E-3</v>
      </c>
      <c r="N26" s="9">
        <f t="shared" si="1"/>
        <v>-7.5187775506686023</v>
      </c>
      <c r="O26" s="10">
        <f t="shared" si="2"/>
        <v>33.120767355382078</v>
      </c>
      <c r="P26" s="2"/>
    </row>
    <row r="27" spans="1:16" ht="16">
      <c r="A27" s="13" t="s">
        <v>19</v>
      </c>
      <c r="B27" s="13" t="s">
        <v>36</v>
      </c>
      <c r="C27" s="65" t="s">
        <v>74</v>
      </c>
      <c r="D27" s="13">
        <v>35</v>
      </c>
      <c r="E27" s="15" t="s">
        <v>30</v>
      </c>
      <c r="F27" s="13">
        <v>11756</v>
      </c>
      <c r="G27" s="13">
        <v>35821</v>
      </c>
      <c r="H27" s="13">
        <v>16449.599999999999</v>
      </c>
      <c r="I27" s="13">
        <v>16053</v>
      </c>
      <c r="J27" s="13">
        <v>3453.9</v>
      </c>
      <c r="K27" s="8">
        <v>13204.9</v>
      </c>
      <c r="L27" s="8">
        <v>33508.400000000001</v>
      </c>
      <c r="M27" s="9">
        <f t="shared" si="0"/>
        <v>2.4626295958824831E-3</v>
      </c>
      <c r="N27" s="9">
        <f t="shared" si="1"/>
        <v>-7.5187775506686023</v>
      </c>
      <c r="O27" s="10">
        <f t="shared" si="2"/>
        <v>32.990494249759891</v>
      </c>
      <c r="P27" s="2"/>
    </row>
    <row r="28" spans="1:16" ht="16">
      <c r="A28" s="16" t="s">
        <v>19</v>
      </c>
      <c r="B28" s="16" t="s">
        <v>36</v>
      </c>
      <c r="C28" s="66" t="s">
        <v>74</v>
      </c>
      <c r="D28" s="16">
        <v>35</v>
      </c>
      <c r="E28" s="17" t="s">
        <v>31</v>
      </c>
      <c r="F28" s="16">
        <v>12102</v>
      </c>
      <c r="G28" s="16">
        <v>48390</v>
      </c>
      <c r="H28" s="16">
        <v>19605.900000000001</v>
      </c>
      <c r="I28" s="16">
        <v>18141</v>
      </c>
      <c r="J28" s="16">
        <v>6292.69</v>
      </c>
      <c r="K28" s="8">
        <v>13204.9</v>
      </c>
      <c r="L28" s="8">
        <v>33508.400000000001</v>
      </c>
      <c r="M28" s="9">
        <f t="shared" si="0"/>
        <v>2.4626295958824831E-3</v>
      </c>
      <c r="N28" s="9">
        <f t="shared" si="1"/>
        <v>-7.5187775506686023</v>
      </c>
      <c r="O28" s="10">
        <f t="shared" si="2"/>
        <v>40.76329204324378</v>
      </c>
      <c r="P28" s="2"/>
    </row>
    <row r="29" spans="1:16" ht="16">
      <c r="A29" s="16" t="s">
        <v>19</v>
      </c>
      <c r="B29" s="16" t="s">
        <v>36</v>
      </c>
      <c r="C29" s="66" t="s">
        <v>74</v>
      </c>
      <c r="D29" s="16">
        <v>35</v>
      </c>
      <c r="E29" s="16" t="s">
        <v>32</v>
      </c>
      <c r="F29" s="16">
        <v>12102</v>
      </c>
      <c r="G29" s="16">
        <v>48410</v>
      </c>
      <c r="H29" s="16">
        <v>19591.5</v>
      </c>
      <c r="I29" s="16">
        <v>18198</v>
      </c>
      <c r="J29" s="16">
        <v>6192.29</v>
      </c>
      <c r="K29" s="8">
        <v>13204.9</v>
      </c>
      <c r="L29" s="8">
        <v>33508.400000000001</v>
      </c>
      <c r="M29" s="9">
        <f t="shared" si="0"/>
        <v>2.4626295958824831E-3</v>
      </c>
      <c r="N29" s="9">
        <f t="shared" si="1"/>
        <v>-7.5187775506686023</v>
      </c>
      <c r="O29" s="10">
        <f t="shared" si="2"/>
        <v>40.727830177063069</v>
      </c>
      <c r="P29" s="2"/>
    </row>
    <row r="30" spans="1:16" ht="16">
      <c r="A30" s="16" t="s">
        <v>19</v>
      </c>
      <c r="B30" s="16" t="s">
        <v>36</v>
      </c>
      <c r="C30" s="66" t="s">
        <v>74</v>
      </c>
      <c r="D30" s="16">
        <v>35</v>
      </c>
      <c r="E30" s="16" t="s">
        <v>33</v>
      </c>
      <c r="F30" s="16">
        <v>12102</v>
      </c>
      <c r="G30" s="16">
        <v>44005</v>
      </c>
      <c r="H30" s="16">
        <v>19213.099999999999</v>
      </c>
      <c r="I30" s="16">
        <v>17927</v>
      </c>
      <c r="J30" s="16">
        <v>5770.1</v>
      </c>
      <c r="K30" s="8">
        <v>13204.9</v>
      </c>
      <c r="L30" s="8">
        <v>33508.400000000001</v>
      </c>
      <c r="M30" s="9">
        <f t="shared" si="0"/>
        <v>2.4626295958824831E-3</v>
      </c>
      <c r="N30" s="9">
        <f t="shared" si="1"/>
        <v>-7.5187775506686023</v>
      </c>
      <c r="O30" s="10">
        <f t="shared" si="2"/>
        <v>39.795971137981134</v>
      </c>
      <c r="P30" s="2"/>
    </row>
    <row r="31" spans="1:16" ht="16">
      <c r="A31" s="16" t="s">
        <v>19</v>
      </c>
      <c r="B31" s="16" t="s">
        <v>36</v>
      </c>
      <c r="C31" s="66" t="s">
        <v>74</v>
      </c>
      <c r="D31" s="16">
        <v>35</v>
      </c>
      <c r="E31" s="16" t="s">
        <v>34</v>
      </c>
      <c r="F31" s="16">
        <v>12102</v>
      </c>
      <c r="G31" s="16">
        <v>44661</v>
      </c>
      <c r="H31" s="16">
        <v>19684.900000000001</v>
      </c>
      <c r="I31" s="16">
        <v>18320</v>
      </c>
      <c r="J31" s="16">
        <v>6047.07</v>
      </c>
      <c r="K31" s="8">
        <v>13204.9</v>
      </c>
      <c r="L31" s="8">
        <v>33508.400000000001</v>
      </c>
      <c r="M31" s="9">
        <f t="shared" si="0"/>
        <v>2.4626295958824831E-3</v>
      </c>
      <c r="N31" s="9">
        <f t="shared" si="1"/>
        <v>-7.5187775506686023</v>
      </c>
      <c r="O31" s="10">
        <f t="shared" si="2"/>
        <v>40.957839781318491</v>
      </c>
      <c r="P31" s="2"/>
    </row>
    <row r="32" spans="1:16" ht="16">
      <c r="A32" s="16" t="s">
        <v>19</v>
      </c>
      <c r="B32" s="16" t="s">
        <v>36</v>
      </c>
      <c r="C32" s="66" t="s">
        <v>74</v>
      </c>
      <c r="D32" s="16">
        <v>35</v>
      </c>
      <c r="E32" s="18" t="s">
        <v>35</v>
      </c>
      <c r="F32" s="16">
        <v>12102</v>
      </c>
      <c r="G32" s="16">
        <v>45501</v>
      </c>
      <c r="H32" s="16">
        <v>19648.8</v>
      </c>
      <c r="I32" s="16">
        <v>18247</v>
      </c>
      <c r="J32" s="16">
        <v>6105.7</v>
      </c>
      <c r="K32" s="8">
        <v>13204.9</v>
      </c>
      <c r="L32" s="8">
        <v>33508.400000000001</v>
      </c>
      <c r="M32" s="9">
        <f t="shared" si="0"/>
        <v>2.4626295958824831E-3</v>
      </c>
      <c r="N32" s="9">
        <f t="shared" si="1"/>
        <v>-7.5187775506686023</v>
      </c>
      <c r="O32" s="10">
        <f t="shared" si="2"/>
        <v>40.868938852907128</v>
      </c>
      <c r="P32" s="2"/>
    </row>
    <row r="33" spans="1:16" ht="16">
      <c r="A33" s="19" t="s">
        <v>37</v>
      </c>
      <c r="B33" s="7" t="s">
        <v>38</v>
      </c>
      <c r="C33" s="67" t="s">
        <v>74</v>
      </c>
      <c r="D33" s="7">
        <v>50</v>
      </c>
      <c r="E33" s="7" t="s">
        <v>21</v>
      </c>
      <c r="F33" s="7">
        <v>39</v>
      </c>
      <c r="G33" s="7">
        <v>154</v>
      </c>
      <c r="H33" s="7">
        <v>73.639600000000002</v>
      </c>
      <c r="I33" s="7">
        <v>69</v>
      </c>
      <c r="J33" s="7">
        <v>24.4817</v>
      </c>
      <c r="K33" s="20">
        <v>35.801099999999998</v>
      </c>
      <c r="L33" s="20">
        <v>104.416</v>
      </c>
      <c r="M33" s="9">
        <f t="shared" si="0"/>
        <v>0.72870469825067141</v>
      </c>
      <c r="N33" s="9">
        <f t="shared" si="1"/>
        <v>-1.0884297725421099</v>
      </c>
      <c r="O33" s="10">
        <f t="shared" si="2"/>
        <v>52.573092724758027</v>
      </c>
      <c r="P33" s="2"/>
    </row>
    <row r="34" spans="1:16" ht="16">
      <c r="A34" s="21" t="s">
        <v>37</v>
      </c>
      <c r="B34" s="6" t="s">
        <v>38</v>
      </c>
      <c r="C34" s="67" t="s">
        <v>74</v>
      </c>
      <c r="D34" s="6">
        <v>50</v>
      </c>
      <c r="E34" s="6" t="s">
        <v>22</v>
      </c>
      <c r="F34" s="6">
        <v>39</v>
      </c>
      <c r="G34" s="6">
        <v>153</v>
      </c>
      <c r="H34" s="6">
        <v>72.013099999999994</v>
      </c>
      <c r="I34" s="6">
        <v>67</v>
      </c>
      <c r="J34" s="6">
        <v>23.776700000000002</v>
      </c>
      <c r="K34" s="20">
        <v>35.801099999999998</v>
      </c>
      <c r="L34" s="20">
        <v>104.416</v>
      </c>
      <c r="M34" s="22">
        <f t="shared" si="0"/>
        <v>0.72870469825067141</v>
      </c>
      <c r="N34" s="22">
        <f t="shared" si="1"/>
        <v>-1.0884297725421099</v>
      </c>
      <c r="O34" s="23">
        <f t="shared" si="2"/>
        <v>51.387854533053314</v>
      </c>
      <c r="P34" s="2"/>
    </row>
    <row r="35" spans="1:16" ht="16">
      <c r="A35" s="21" t="s">
        <v>37</v>
      </c>
      <c r="B35" s="6" t="s">
        <v>38</v>
      </c>
      <c r="C35" s="67" t="s">
        <v>74</v>
      </c>
      <c r="D35" s="6">
        <v>50</v>
      </c>
      <c r="E35" s="6" t="s">
        <v>23</v>
      </c>
      <c r="F35" s="6">
        <v>39</v>
      </c>
      <c r="G35" s="6">
        <v>143</v>
      </c>
      <c r="H35" s="6">
        <v>69.258200000000002</v>
      </c>
      <c r="I35" s="6">
        <v>65</v>
      </c>
      <c r="J35" s="6">
        <v>21.735399999999998</v>
      </c>
      <c r="K35" s="20">
        <v>35.801099999999998</v>
      </c>
      <c r="L35" s="20">
        <v>104.416</v>
      </c>
      <c r="M35" s="22">
        <f t="shared" si="0"/>
        <v>0.72870469825067141</v>
      </c>
      <c r="N35" s="22">
        <f t="shared" si="1"/>
        <v>-1.0884297725421099</v>
      </c>
      <c r="O35" s="23">
        <f t="shared" si="2"/>
        <v>49.380345959842543</v>
      </c>
      <c r="P35" s="2"/>
    </row>
    <row r="36" spans="1:16" ht="16">
      <c r="A36" s="21" t="s">
        <v>37</v>
      </c>
      <c r="B36" s="6" t="s">
        <v>38</v>
      </c>
      <c r="C36" s="67" t="s">
        <v>74</v>
      </c>
      <c r="D36" s="6">
        <v>50</v>
      </c>
      <c r="E36" s="6" t="s">
        <v>24</v>
      </c>
      <c r="F36" s="6">
        <v>39</v>
      </c>
      <c r="G36" s="6">
        <v>152</v>
      </c>
      <c r="H36" s="6">
        <v>68.887799999999999</v>
      </c>
      <c r="I36" s="6">
        <v>64</v>
      </c>
      <c r="J36" s="6">
        <v>21.8855</v>
      </c>
      <c r="K36" s="20">
        <v>35.801099999999998</v>
      </c>
      <c r="L36" s="20">
        <v>104.416</v>
      </c>
      <c r="M36" s="22">
        <f t="shared" si="0"/>
        <v>0.72870469825067141</v>
      </c>
      <c r="N36" s="22">
        <f t="shared" si="1"/>
        <v>-1.0884297725421099</v>
      </c>
      <c r="O36" s="23">
        <f t="shared" si="2"/>
        <v>49.110433739610485</v>
      </c>
      <c r="P36" s="2"/>
    </row>
    <row r="37" spans="1:16" ht="16">
      <c r="A37" s="24" t="s">
        <v>37</v>
      </c>
      <c r="B37" s="12" t="s">
        <v>38</v>
      </c>
      <c r="C37" s="67" t="s">
        <v>74</v>
      </c>
      <c r="D37" s="12">
        <v>50</v>
      </c>
      <c r="E37" s="12" t="s">
        <v>25</v>
      </c>
      <c r="F37" s="12">
        <v>39</v>
      </c>
      <c r="G37" s="12">
        <v>154</v>
      </c>
      <c r="H37" s="12">
        <v>70.960999999999999</v>
      </c>
      <c r="I37" s="12">
        <v>67</v>
      </c>
      <c r="J37" s="12">
        <v>22.727799999999998</v>
      </c>
      <c r="K37" s="20">
        <v>35.801099999999998</v>
      </c>
      <c r="L37" s="20">
        <v>104.416</v>
      </c>
      <c r="M37" s="25">
        <f t="shared" si="0"/>
        <v>0.72870469825067141</v>
      </c>
      <c r="N37" s="25">
        <f t="shared" si="1"/>
        <v>-1.0884297725421099</v>
      </c>
      <c r="O37" s="26">
        <f t="shared" si="2"/>
        <v>50.621184320023787</v>
      </c>
      <c r="P37" s="2"/>
    </row>
    <row r="38" spans="1:16" ht="16">
      <c r="A38" s="27" t="s">
        <v>37</v>
      </c>
      <c r="B38" s="14" t="s">
        <v>38</v>
      </c>
      <c r="C38" s="68" t="s">
        <v>74</v>
      </c>
      <c r="D38" s="14">
        <v>50</v>
      </c>
      <c r="E38" s="14" t="s">
        <v>26</v>
      </c>
      <c r="F38" s="14">
        <v>35</v>
      </c>
      <c r="G38" s="14">
        <v>133</v>
      </c>
      <c r="H38" s="14">
        <v>62.026899999999998</v>
      </c>
      <c r="I38" s="14">
        <v>59</v>
      </c>
      <c r="J38" s="14">
        <v>19.451899999999998</v>
      </c>
      <c r="K38" s="20">
        <v>35.801099999999998</v>
      </c>
      <c r="L38" s="20">
        <v>104.416</v>
      </c>
      <c r="M38" s="9">
        <f t="shared" si="0"/>
        <v>0.72870469825067141</v>
      </c>
      <c r="N38" s="9">
        <f t="shared" si="1"/>
        <v>-1.0884297725421099</v>
      </c>
      <c r="O38" s="10">
        <f t="shared" si="2"/>
        <v>44.110863675382461</v>
      </c>
      <c r="P38" s="2"/>
    </row>
    <row r="39" spans="1:16" ht="16">
      <c r="A39" s="28" t="s">
        <v>37</v>
      </c>
      <c r="B39" s="13" t="s">
        <v>38</v>
      </c>
      <c r="C39" s="68" t="s">
        <v>74</v>
      </c>
      <c r="D39" s="13">
        <v>50</v>
      </c>
      <c r="E39" s="13" t="s">
        <v>27</v>
      </c>
      <c r="F39" s="13">
        <v>35</v>
      </c>
      <c r="G39" s="29">
        <v>133</v>
      </c>
      <c r="H39" s="13">
        <v>62.024999999999999</v>
      </c>
      <c r="I39" s="13">
        <v>59</v>
      </c>
      <c r="J39" s="13">
        <v>19.394200000000001</v>
      </c>
      <c r="K39" s="20">
        <v>35.801099999999998</v>
      </c>
      <c r="L39" s="20">
        <v>104.416</v>
      </c>
      <c r="M39" s="22">
        <f t="shared" si="0"/>
        <v>0.72870469825067141</v>
      </c>
      <c r="N39" s="22">
        <f t="shared" si="1"/>
        <v>-1.0884297725421099</v>
      </c>
      <c r="O39" s="23">
        <f t="shared" si="2"/>
        <v>44.109479136455789</v>
      </c>
      <c r="P39" s="2"/>
    </row>
    <row r="40" spans="1:16" ht="16">
      <c r="A40" s="28" t="s">
        <v>37</v>
      </c>
      <c r="B40" s="13" t="s">
        <v>38</v>
      </c>
      <c r="C40" s="68" t="s">
        <v>74</v>
      </c>
      <c r="D40" s="13">
        <v>50</v>
      </c>
      <c r="E40" s="13" t="s">
        <v>28</v>
      </c>
      <c r="F40" s="13">
        <v>35</v>
      </c>
      <c r="G40" s="29">
        <v>137</v>
      </c>
      <c r="H40" s="13">
        <v>61.676499999999997</v>
      </c>
      <c r="I40" s="13">
        <v>58</v>
      </c>
      <c r="J40" s="13">
        <v>19.1752</v>
      </c>
      <c r="K40" s="20">
        <v>35.801099999999998</v>
      </c>
      <c r="L40" s="20">
        <v>104.416</v>
      </c>
      <c r="M40" s="22">
        <f t="shared" si="0"/>
        <v>0.72870469825067141</v>
      </c>
      <c r="N40" s="22">
        <f t="shared" si="1"/>
        <v>-1.0884297725421099</v>
      </c>
      <c r="O40" s="23">
        <f t="shared" si="2"/>
        <v>43.855525549115427</v>
      </c>
      <c r="P40" s="2"/>
    </row>
    <row r="41" spans="1:16" ht="16">
      <c r="A41" s="28" t="s">
        <v>37</v>
      </c>
      <c r="B41" s="13" t="s">
        <v>38</v>
      </c>
      <c r="C41" s="68" t="s">
        <v>74</v>
      </c>
      <c r="D41" s="13">
        <v>50</v>
      </c>
      <c r="E41" s="13" t="s">
        <v>29</v>
      </c>
      <c r="F41" s="13">
        <v>35</v>
      </c>
      <c r="G41" s="13">
        <v>132</v>
      </c>
      <c r="H41" s="13">
        <v>60.997900000000001</v>
      </c>
      <c r="I41" s="13">
        <v>57</v>
      </c>
      <c r="J41" s="13">
        <v>18.977799999999998</v>
      </c>
      <c r="K41" s="20">
        <v>35.801099999999998</v>
      </c>
      <c r="L41" s="20">
        <v>104.416</v>
      </c>
      <c r="M41" s="22">
        <f t="shared" si="0"/>
        <v>0.72870469825067141</v>
      </c>
      <c r="N41" s="22">
        <f t="shared" si="1"/>
        <v>-1.0884297725421099</v>
      </c>
      <c r="O41" s="23">
        <f t="shared" si="2"/>
        <v>43.36102654088252</v>
      </c>
      <c r="P41" s="2"/>
    </row>
    <row r="42" spans="1:16" ht="16">
      <c r="A42" s="30" t="s">
        <v>37</v>
      </c>
      <c r="B42" s="15" t="s">
        <v>38</v>
      </c>
      <c r="C42" s="68" t="s">
        <v>74</v>
      </c>
      <c r="D42" s="15">
        <v>50</v>
      </c>
      <c r="E42" s="15" t="s">
        <v>30</v>
      </c>
      <c r="F42" s="15">
        <v>35</v>
      </c>
      <c r="G42" s="15">
        <v>134</v>
      </c>
      <c r="H42" s="15">
        <v>60.432899999999997</v>
      </c>
      <c r="I42" s="15">
        <v>57</v>
      </c>
      <c r="J42" s="15">
        <v>18.4909</v>
      </c>
      <c r="K42" s="20">
        <v>35.801099999999998</v>
      </c>
      <c r="L42" s="20">
        <v>104.416</v>
      </c>
      <c r="M42" s="25">
        <f t="shared" si="0"/>
        <v>0.72870469825067141</v>
      </c>
      <c r="N42" s="25">
        <f t="shared" si="1"/>
        <v>-1.0884297725421099</v>
      </c>
      <c r="O42" s="26">
        <f t="shared" si="2"/>
        <v>42.949308386370888</v>
      </c>
      <c r="P42" s="2"/>
    </row>
    <row r="43" spans="1:16" ht="16">
      <c r="A43" s="31" t="s">
        <v>37</v>
      </c>
      <c r="B43" s="17" t="s">
        <v>38</v>
      </c>
      <c r="C43" s="69" t="s">
        <v>74</v>
      </c>
      <c r="D43" s="17">
        <v>50</v>
      </c>
      <c r="E43" s="17" t="s">
        <v>31</v>
      </c>
      <c r="F43" s="17">
        <v>35</v>
      </c>
      <c r="G43" s="17">
        <v>137</v>
      </c>
      <c r="H43" s="17">
        <v>61.772399999999998</v>
      </c>
      <c r="I43" s="17">
        <v>58</v>
      </c>
      <c r="J43" s="17">
        <v>19.655100000000001</v>
      </c>
      <c r="K43" s="20">
        <v>35.801099999999998</v>
      </c>
      <c r="L43" s="20">
        <v>104.416</v>
      </c>
      <c r="M43" s="9">
        <f t="shared" si="0"/>
        <v>0.72870469825067141</v>
      </c>
      <c r="N43" s="9">
        <f t="shared" si="1"/>
        <v>-1.0884297725421099</v>
      </c>
      <c r="O43" s="10">
        <f t="shared" si="2"/>
        <v>43.925408329677666</v>
      </c>
      <c r="P43" s="2"/>
    </row>
    <row r="44" spans="1:16" ht="16">
      <c r="A44" s="32" t="s">
        <v>37</v>
      </c>
      <c r="B44" s="16" t="s">
        <v>38</v>
      </c>
      <c r="C44" s="69" t="s">
        <v>74</v>
      </c>
      <c r="D44" s="16">
        <v>50</v>
      </c>
      <c r="E44" s="16" t="s">
        <v>32</v>
      </c>
      <c r="F44" s="16">
        <v>35</v>
      </c>
      <c r="G44" s="16">
        <v>134</v>
      </c>
      <c r="H44" s="16">
        <v>62.377200000000002</v>
      </c>
      <c r="I44" s="16">
        <v>59</v>
      </c>
      <c r="J44" s="16">
        <v>19.6708</v>
      </c>
      <c r="K44" s="20">
        <v>35.801099999999998</v>
      </c>
      <c r="L44" s="20">
        <v>104.416</v>
      </c>
      <c r="M44" s="22">
        <f t="shared" si="0"/>
        <v>0.72870469825067141</v>
      </c>
      <c r="N44" s="22">
        <f t="shared" si="1"/>
        <v>-1.0884297725421099</v>
      </c>
      <c r="O44" s="23">
        <f t="shared" si="2"/>
        <v>44.366128931179674</v>
      </c>
      <c r="P44" s="2"/>
    </row>
    <row r="45" spans="1:16" ht="16">
      <c r="A45" s="32" t="s">
        <v>37</v>
      </c>
      <c r="B45" s="16" t="s">
        <v>38</v>
      </c>
      <c r="C45" s="69" t="s">
        <v>74</v>
      </c>
      <c r="D45" s="16">
        <v>50</v>
      </c>
      <c r="E45" s="16" t="s">
        <v>33</v>
      </c>
      <c r="F45" s="16">
        <v>35</v>
      </c>
      <c r="G45" s="16">
        <v>142</v>
      </c>
      <c r="H45" s="16">
        <v>63.096899999999998</v>
      </c>
      <c r="I45" s="16">
        <v>59</v>
      </c>
      <c r="J45" s="16">
        <v>20.0395</v>
      </c>
      <c r="K45" s="20">
        <v>35.801099999999998</v>
      </c>
      <c r="L45" s="20">
        <v>104.416</v>
      </c>
      <c r="M45" s="22">
        <f t="shared" si="0"/>
        <v>0.72870469825067141</v>
      </c>
      <c r="N45" s="22">
        <f t="shared" si="1"/>
        <v>-1.0884297725421099</v>
      </c>
      <c r="O45" s="23">
        <f t="shared" si="2"/>
        <v>44.890577702510683</v>
      </c>
      <c r="P45" s="2"/>
    </row>
    <row r="46" spans="1:16" ht="16">
      <c r="A46" s="32" t="s">
        <v>37</v>
      </c>
      <c r="B46" s="16" t="s">
        <v>38</v>
      </c>
      <c r="C46" s="69" t="s">
        <v>74</v>
      </c>
      <c r="D46" s="16">
        <v>50</v>
      </c>
      <c r="E46" s="16" t="s">
        <v>34</v>
      </c>
      <c r="F46" s="16">
        <v>35</v>
      </c>
      <c r="G46" s="16">
        <v>133</v>
      </c>
      <c r="H46" s="16">
        <v>62.024900000000002</v>
      </c>
      <c r="I46" s="16">
        <v>59</v>
      </c>
      <c r="J46" s="16">
        <v>19.414300000000001</v>
      </c>
      <c r="K46" s="20">
        <v>35.801099999999998</v>
      </c>
      <c r="L46" s="20">
        <v>104.416</v>
      </c>
      <c r="M46" s="22">
        <f t="shared" si="0"/>
        <v>0.72870469825067141</v>
      </c>
      <c r="N46" s="22">
        <f t="shared" si="1"/>
        <v>-1.0884297725421099</v>
      </c>
      <c r="O46" s="23">
        <f t="shared" si="2"/>
        <v>44.109406265985967</v>
      </c>
      <c r="P46" s="2"/>
    </row>
    <row r="47" spans="1:16" ht="16">
      <c r="A47" s="33" t="s">
        <v>37</v>
      </c>
      <c r="B47" s="18" t="s">
        <v>38</v>
      </c>
      <c r="C47" s="69" t="s">
        <v>74</v>
      </c>
      <c r="D47" s="18">
        <v>50</v>
      </c>
      <c r="E47" s="18" t="s">
        <v>35</v>
      </c>
      <c r="F47" s="18">
        <v>35</v>
      </c>
      <c r="G47" s="18">
        <v>133</v>
      </c>
      <c r="H47" s="18">
        <v>62.423900000000003</v>
      </c>
      <c r="I47" s="18">
        <v>59</v>
      </c>
      <c r="J47" s="18">
        <v>19.4496</v>
      </c>
      <c r="K47" s="20">
        <v>35.801099999999998</v>
      </c>
      <c r="L47" s="20">
        <v>104.416</v>
      </c>
      <c r="M47" s="25">
        <f t="shared" si="0"/>
        <v>0.72870469825067141</v>
      </c>
      <c r="N47" s="25">
        <f t="shared" si="1"/>
        <v>-1.0884297725421099</v>
      </c>
      <c r="O47" s="26">
        <f t="shared" si="2"/>
        <v>44.400159440587984</v>
      </c>
      <c r="P47" s="2"/>
    </row>
    <row r="48" spans="1:16" ht="16">
      <c r="A48" s="19" t="s">
        <v>37</v>
      </c>
      <c r="B48" s="7" t="s">
        <v>20</v>
      </c>
      <c r="C48" s="67" t="s">
        <v>74</v>
      </c>
      <c r="D48" s="7">
        <v>50</v>
      </c>
      <c r="E48" s="7" t="s">
        <v>21</v>
      </c>
      <c r="F48" s="7">
        <v>44</v>
      </c>
      <c r="G48" s="7">
        <v>176</v>
      </c>
      <c r="H48" s="7">
        <v>81.719499999999996</v>
      </c>
      <c r="I48" s="7">
        <v>77</v>
      </c>
      <c r="J48" s="7">
        <v>26.413399999999999</v>
      </c>
      <c r="K48" s="20">
        <v>35.801099999999998</v>
      </c>
      <c r="L48" s="20">
        <v>104.416</v>
      </c>
      <c r="M48" s="9">
        <f t="shared" si="0"/>
        <v>0.72870469825067141</v>
      </c>
      <c r="N48" s="9">
        <f t="shared" si="1"/>
        <v>-1.0884297725421099</v>
      </c>
      <c r="O48" s="10">
        <f t="shared" si="2"/>
        <v>58.460953816153634</v>
      </c>
      <c r="P48" s="2"/>
    </row>
    <row r="49" spans="1:16" ht="16">
      <c r="A49" s="21" t="s">
        <v>37</v>
      </c>
      <c r="B49" s="6" t="s">
        <v>20</v>
      </c>
      <c r="C49" s="67" t="s">
        <v>74</v>
      </c>
      <c r="D49" s="6">
        <v>50</v>
      </c>
      <c r="E49" s="6" t="s">
        <v>22</v>
      </c>
      <c r="F49" s="6">
        <v>44</v>
      </c>
      <c r="G49" s="6">
        <v>155</v>
      </c>
      <c r="H49" s="6">
        <v>79.873199999999997</v>
      </c>
      <c r="I49" s="6">
        <v>75</v>
      </c>
      <c r="J49" s="6">
        <v>24.817</v>
      </c>
      <c r="K49" s="20">
        <v>35.801099999999998</v>
      </c>
      <c r="L49" s="20">
        <v>104.416</v>
      </c>
      <c r="M49" s="22">
        <f t="shared" si="0"/>
        <v>0.72870469825067141</v>
      </c>
      <c r="N49" s="22">
        <f t="shared" si="1"/>
        <v>-1.0884297725421099</v>
      </c>
      <c r="O49" s="23">
        <f t="shared" si="2"/>
        <v>57.115546331773416</v>
      </c>
      <c r="P49" s="2"/>
    </row>
    <row r="50" spans="1:16" ht="16">
      <c r="A50" s="21" t="s">
        <v>37</v>
      </c>
      <c r="B50" s="6" t="s">
        <v>20</v>
      </c>
      <c r="C50" s="67" t="s">
        <v>74</v>
      </c>
      <c r="D50" s="6">
        <v>50</v>
      </c>
      <c r="E50" s="6" t="s">
        <v>23</v>
      </c>
      <c r="F50" s="6">
        <v>44</v>
      </c>
      <c r="G50" s="6">
        <v>157</v>
      </c>
      <c r="H50" s="6">
        <v>77.921499999999995</v>
      </c>
      <c r="I50" s="6">
        <v>73</v>
      </c>
      <c r="J50" s="6">
        <v>23.998799999999999</v>
      </c>
      <c r="K50" s="20">
        <v>35.801099999999998</v>
      </c>
      <c r="L50" s="20">
        <v>104.416</v>
      </c>
      <c r="M50" s="22">
        <f t="shared" si="0"/>
        <v>0.72870469825067141</v>
      </c>
      <c r="N50" s="22">
        <f t="shared" si="1"/>
        <v>-1.0884297725421099</v>
      </c>
      <c r="O50" s="23">
        <f t="shared" si="2"/>
        <v>55.693333372197586</v>
      </c>
      <c r="P50" s="2"/>
    </row>
    <row r="51" spans="1:16" ht="16">
      <c r="A51" s="21" t="s">
        <v>37</v>
      </c>
      <c r="B51" s="6" t="s">
        <v>20</v>
      </c>
      <c r="C51" s="67" t="s">
        <v>74</v>
      </c>
      <c r="D51" s="6">
        <v>50</v>
      </c>
      <c r="E51" s="6" t="s">
        <v>24</v>
      </c>
      <c r="F51" s="6">
        <v>44</v>
      </c>
      <c r="G51" s="6">
        <v>152</v>
      </c>
      <c r="H51" s="6">
        <v>76.166499999999999</v>
      </c>
      <c r="I51" s="6">
        <v>72</v>
      </c>
      <c r="J51" s="6">
        <v>22.976400000000002</v>
      </c>
      <c r="K51" s="20">
        <v>35.801099999999998</v>
      </c>
      <c r="L51" s="20">
        <v>104.416</v>
      </c>
      <c r="M51" s="22">
        <f t="shared" si="0"/>
        <v>0.72870469825067141</v>
      </c>
      <c r="N51" s="22">
        <f t="shared" si="1"/>
        <v>-1.0884297725421099</v>
      </c>
      <c r="O51" s="23">
        <f t="shared" si="2"/>
        <v>54.414456626767659</v>
      </c>
      <c r="P51" s="2"/>
    </row>
    <row r="52" spans="1:16" ht="16">
      <c r="A52" s="24" t="s">
        <v>37</v>
      </c>
      <c r="B52" s="12" t="s">
        <v>20</v>
      </c>
      <c r="C52" s="67" t="s">
        <v>74</v>
      </c>
      <c r="D52" s="12">
        <v>50</v>
      </c>
      <c r="E52" s="12" t="s">
        <v>25</v>
      </c>
      <c r="F52" s="12">
        <v>44</v>
      </c>
      <c r="G52" s="12">
        <v>153</v>
      </c>
      <c r="H52" s="12">
        <v>75.390299999999996</v>
      </c>
      <c r="I52" s="12">
        <v>71</v>
      </c>
      <c r="J52" s="12">
        <v>22.065899999999999</v>
      </c>
      <c r="K52" s="20">
        <v>35.801099999999998</v>
      </c>
      <c r="L52" s="20">
        <v>104.416</v>
      </c>
      <c r="M52" s="25">
        <f t="shared" si="0"/>
        <v>0.72870469825067141</v>
      </c>
      <c r="N52" s="25">
        <f t="shared" si="1"/>
        <v>-1.0884297725421099</v>
      </c>
      <c r="O52" s="26">
        <f t="shared" si="2"/>
        <v>53.848836039985486</v>
      </c>
      <c r="P52" s="2"/>
    </row>
    <row r="53" spans="1:16" ht="16">
      <c r="A53" s="27" t="s">
        <v>37</v>
      </c>
      <c r="B53" s="14" t="s">
        <v>20</v>
      </c>
      <c r="C53" s="68" t="s">
        <v>74</v>
      </c>
      <c r="D53" s="14">
        <v>50</v>
      </c>
      <c r="E53" s="14" t="s">
        <v>26</v>
      </c>
      <c r="F53" s="14">
        <v>35</v>
      </c>
      <c r="G53" s="14">
        <v>137</v>
      </c>
      <c r="H53" s="14">
        <v>62.034399999999998</v>
      </c>
      <c r="I53" s="14">
        <v>58</v>
      </c>
      <c r="J53" s="14">
        <v>19.577999999999999</v>
      </c>
      <c r="K53" s="20">
        <v>35.801099999999998</v>
      </c>
      <c r="L53" s="20">
        <v>104.416</v>
      </c>
      <c r="M53" s="9">
        <f t="shared" si="0"/>
        <v>0.72870469825067141</v>
      </c>
      <c r="N53" s="9">
        <f t="shared" si="1"/>
        <v>-1.0884297725421099</v>
      </c>
      <c r="O53" s="10">
        <f t="shared" si="2"/>
        <v>44.116328960619342</v>
      </c>
      <c r="P53" s="2"/>
    </row>
    <row r="54" spans="1:16" ht="16">
      <c r="A54" s="28" t="s">
        <v>37</v>
      </c>
      <c r="B54" s="13" t="s">
        <v>20</v>
      </c>
      <c r="C54" s="68" t="s">
        <v>74</v>
      </c>
      <c r="D54" s="13">
        <v>50</v>
      </c>
      <c r="E54" s="13" t="s">
        <v>27</v>
      </c>
      <c r="F54" s="13">
        <v>35</v>
      </c>
      <c r="G54" s="13">
        <v>143</v>
      </c>
      <c r="H54" s="13">
        <v>62.302500000000002</v>
      </c>
      <c r="I54" s="13">
        <v>58</v>
      </c>
      <c r="J54" s="13">
        <v>19.821200000000001</v>
      </c>
      <c r="K54" s="20">
        <v>35.801099999999998</v>
      </c>
      <c r="L54" s="20">
        <v>104.416</v>
      </c>
      <c r="M54" s="22">
        <f t="shared" si="0"/>
        <v>0.72870469825067141</v>
      </c>
      <c r="N54" s="22">
        <f t="shared" si="1"/>
        <v>-1.0884297725421099</v>
      </c>
      <c r="O54" s="23">
        <f t="shared" si="2"/>
        <v>44.311694690220349</v>
      </c>
      <c r="P54" s="2"/>
    </row>
    <row r="55" spans="1:16" ht="16">
      <c r="A55" s="28" t="s">
        <v>37</v>
      </c>
      <c r="B55" s="13" t="s">
        <v>20</v>
      </c>
      <c r="C55" s="68" t="s">
        <v>74</v>
      </c>
      <c r="D55" s="13">
        <v>50</v>
      </c>
      <c r="E55" s="13" t="s">
        <v>28</v>
      </c>
      <c r="F55" s="13">
        <v>35</v>
      </c>
      <c r="G55" s="13">
        <v>126</v>
      </c>
      <c r="H55" s="13">
        <v>60.897199999999998</v>
      </c>
      <c r="I55" s="13">
        <v>57</v>
      </c>
      <c r="J55" s="13">
        <v>18.684699999999999</v>
      </c>
      <c r="K55" s="20">
        <v>35.801099999999998</v>
      </c>
      <c r="L55" s="20">
        <v>104.416</v>
      </c>
      <c r="M55" s="22">
        <f t="shared" si="0"/>
        <v>0.72870469825067141</v>
      </c>
      <c r="N55" s="22">
        <f t="shared" si="1"/>
        <v>-1.0884297725421099</v>
      </c>
      <c r="O55" s="23">
        <f t="shared" si="2"/>
        <v>43.287645977768676</v>
      </c>
      <c r="P55" s="2"/>
    </row>
    <row r="56" spans="1:16" ht="16">
      <c r="A56" s="28" t="s">
        <v>37</v>
      </c>
      <c r="B56" s="13" t="s">
        <v>20</v>
      </c>
      <c r="C56" s="68" t="s">
        <v>74</v>
      </c>
      <c r="D56" s="13">
        <v>50</v>
      </c>
      <c r="E56" s="13" t="s">
        <v>29</v>
      </c>
      <c r="F56" s="13">
        <v>35</v>
      </c>
      <c r="G56" s="13">
        <v>123</v>
      </c>
      <c r="H56" s="13">
        <v>58.542900000000003</v>
      </c>
      <c r="I56" s="13">
        <v>55</v>
      </c>
      <c r="J56" s="13">
        <v>16.669799999999999</v>
      </c>
      <c r="K56" s="20">
        <v>35.801099999999998</v>
      </c>
      <c r="L56" s="20">
        <v>104.416</v>
      </c>
      <c r="M56" s="22">
        <f t="shared" si="0"/>
        <v>0.72870469825067141</v>
      </c>
      <c r="N56" s="22">
        <f t="shared" si="1"/>
        <v>-1.0884297725421099</v>
      </c>
      <c r="O56" s="23">
        <f t="shared" si="2"/>
        <v>41.572056506677129</v>
      </c>
      <c r="P56" s="2"/>
    </row>
    <row r="57" spans="1:16" ht="16">
      <c r="A57" s="30" t="s">
        <v>37</v>
      </c>
      <c r="B57" s="15" t="s">
        <v>20</v>
      </c>
      <c r="C57" s="68" t="s">
        <v>74</v>
      </c>
      <c r="D57" s="15">
        <v>50</v>
      </c>
      <c r="E57" s="15" t="s">
        <v>30</v>
      </c>
      <c r="F57" s="15">
        <v>35</v>
      </c>
      <c r="G57" s="15">
        <v>123</v>
      </c>
      <c r="H57" s="15">
        <v>58.558300000000003</v>
      </c>
      <c r="I57" s="15">
        <v>55</v>
      </c>
      <c r="J57" s="15">
        <v>16.5715</v>
      </c>
      <c r="K57" s="20">
        <v>35.801099999999998</v>
      </c>
      <c r="L57" s="20">
        <v>104.416</v>
      </c>
      <c r="M57" s="25">
        <f t="shared" si="0"/>
        <v>0.72870469825067141</v>
      </c>
      <c r="N57" s="25">
        <f t="shared" si="1"/>
        <v>-1.0884297725421099</v>
      </c>
      <c r="O57" s="26">
        <f t="shared" si="2"/>
        <v>41.583278559030177</v>
      </c>
    </row>
    <row r="58" spans="1:16" ht="16">
      <c r="A58" s="31" t="s">
        <v>37</v>
      </c>
      <c r="B58" s="17" t="s">
        <v>20</v>
      </c>
      <c r="C58" s="69" t="s">
        <v>74</v>
      </c>
      <c r="D58" s="17">
        <v>50</v>
      </c>
      <c r="E58" s="17" t="s">
        <v>31</v>
      </c>
      <c r="F58" s="17">
        <v>43</v>
      </c>
      <c r="G58" s="17">
        <v>168</v>
      </c>
      <c r="H58" s="17">
        <v>83.072800000000001</v>
      </c>
      <c r="I58" s="17">
        <v>78</v>
      </c>
      <c r="J58" s="17">
        <v>28.761199999999999</v>
      </c>
      <c r="K58" s="20">
        <v>35.801099999999998</v>
      </c>
      <c r="L58" s="20">
        <v>104.416</v>
      </c>
      <c r="M58" s="9">
        <f t="shared" si="0"/>
        <v>0.72870469825067141</v>
      </c>
      <c r="N58" s="9">
        <f t="shared" si="1"/>
        <v>-1.0884297725421099</v>
      </c>
      <c r="O58" s="10">
        <f t="shared" si="2"/>
        <v>59.447109884296268</v>
      </c>
    </row>
    <row r="59" spans="1:16" ht="16">
      <c r="A59" s="32" t="s">
        <v>37</v>
      </c>
      <c r="B59" s="16" t="s">
        <v>20</v>
      </c>
      <c r="C59" s="69" t="s">
        <v>74</v>
      </c>
      <c r="D59" s="16">
        <v>50</v>
      </c>
      <c r="E59" s="16" t="s">
        <v>32</v>
      </c>
      <c r="F59" s="16">
        <v>43</v>
      </c>
      <c r="G59" s="16">
        <v>162</v>
      </c>
      <c r="H59" s="16">
        <v>79.692899999999995</v>
      </c>
      <c r="I59" s="16">
        <v>74</v>
      </c>
      <c r="J59" s="16">
        <v>26.856400000000001</v>
      </c>
      <c r="K59" s="20">
        <v>35.801099999999998</v>
      </c>
      <c r="L59" s="20">
        <v>104.416</v>
      </c>
      <c r="M59" s="22">
        <f t="shared" si="0"/>
        <v>0.72870469825067141</v>
      </c>
      <c r="N59" s="22">
        <f t="shared" si="1"/>
        <v>-1.0884297725421099</v>
      </c>
      <c r="O59" s="23">
        <f t="shared" si="2"/>
        <v>56.984160874678821</v>
      </c>
    </row>
    <row r="60" spans="1:16" ht="16">
      <c r="A60" s="32" t="s">
        <v>37</v>
      </c>
      <c r="B60" s="16" t="s">
        <v>20</v>
      </c>
      <c r="C60" s="69" t="s">
        <v>74</v>
      </c>
      <c r="D60" s="16">
        <v>50</v>
      </c>
      <c r="E60" s="16" t="s">
        <v>33</v>
      </c>
      <c r="F60" s="16">
        <v>43</v>
      </c>
      <c r="G60" s="16">
        <v>158</v>
      </c>
      <c r="H60" s="16">
        <v>78.855699999999999</v>
      </c>
      <c r="I60" s="16">
        <v>74</v>
      </c>
      <c r="J60" s="16">
        <v>25.816800000000001</v>
      </c>
      <c r="K60" s="20">
        <v>35.801099999999998</v>
      </c>
      <c r="L60" s="20">
        <v>104.416</v>
      </c>
      <c r="M60" s="22">
        <f t="shared" si="0"/>
        <v>0.72870469825067141</v>
      </c>
      <c r="N60" s="22">
        <f t="shared" si="1"/>
        <v>-1.0884297725421099</v>
      </c>
      <c r="O60" s="23">
        <f t="shared" si="2"/>
        <v>56.374089301303357</v>
      </c>
    </row>
    <row r="61" spans="1:16" ht="16">
      <c r="A61" s="32" t="s">
        <v>37</v>
      </c>
      <c r="B61" s="16" t="s">
        <v>20</v>
      </c>
      <c r="C61" s="69" t="s">
        <v>74</v>
      </c>
      <c r="D61" s="16">
        <v>50</v>
      </c>
      <c r="E61" s="16" t="s">
        <v>34</v>
      </c>
      <c r="F61" s="16">
        <v>43</v>
      </c>
      <c r="G61" s="16">
        <v>163</v>
      </c>
      <c r="H61" s="16">
        <v>80.235500000000002</v>
      </c>
      <c r="I61" s="16">
        <v>75</v>
      </c>
      <c r="J61" s="16">
        <v>26.447299999999998</v>
      </c>
      <c r="K61" s="20">
        <v>35.801099999999998</v>
      </c>
      <c r="L61" s="20">
        <v>104.416</v>
      </c>
      <c r="M61" s="22">
        <f t="shared" si="0"/>
        <v>0.72870469825067141</v>
      </c>
      <c r="N61" s="22">
        <f t="shared" si="1"/>
        <v>-1.0884297725421099</v>
      </c>
      <c r="O61" s="23">
        <f t="shared" si="2"/>
        <v>57.379556043949634</v>
      </c>
    </row>
    <row r="62" spans="1:16" ht="16">
      <c r="A62" s="33" t="s">
        <v>37</v>
      </c>
      <c r="B62" s="18" t="s">
        <v>20</v>
      </c>
      <c r="C62" s="69" t="s">
        <v>74</v>
      </c>
      <c r="D62" s="18">
        <v>50</v>
      </c>
      <c r="E62" s="18" t="s">
        <v>35</v>
      </c>
      <c r="F62" s="18">
        <v>43</v>
      </c>
      <c r="G62" s="18">
        <v>158</v>
      </c>
      <c r="H62" s="18">
        <v>83.716800000000006</v>
      </c>
      <c r="I62" s="18">
        <v>79</v>
      </c>
      <c r="J62" s="18">
        <v>28.152799999999999</v>
      </c>
      <c r="K62" s="20">
        <v>35.801099999999998</v>
      </c>
      <c r="L62" s="20">
        <v>104.416</v>
      </c>
      <c r="M62" s="25">
        <f t="shared" si="0"/>
        <v>0.72870469825067141</v>
      </c>
      <c r="N62" s="25">
        <f t="shared" si="1"/>
        <v>-1.0884297725421099</v>
      </c>
      <c r="O62" s="26">
        <f t="shared" si="2"/>
        <v>59.916395709969706</v>
      </c>
    </row>
    <row r="63" spans="1:16" ht="16">
      <c r="A63" s="6" t="s">
        <v>39</v>
      </c>
      <c r="B63" s="6" t="s">
        <v>20</v>
      </c>
      <c r="C63" s="64" t="s">
        <v>75</v>
      </c>
      <c r="D63" s="6">
        <v>59</v>
      </c>
      <c r="E63" s="6" t="s">
        <v>40</v>
      </c>
      <c r="F63" s="6">
        <v>48</v>
      </c>
      <c r="G63" s="6">
        <v>133</v>
      </c>
      <c r="H63" s="6">
        <v>75.435699999999997</v>
      </c>
      <c r="I63" s="6">
        <v>71</v>
      </c>
      <c r="J63" s="6">
        <v>18.919499999999999</v>
      </c>
      <c r="K63" s="8">
        <v>53.865600000000001</v>
      </c>
      <c r="L63" s="8">
        <v>177.381</v>
      </c>
      <c r="M63" s="22">
        <f t="shared" si="0"/>
        <v>0.40480782153480455</v>
      </c>
      <c r="N63" s="22">
        <f t="shared" si="1"/>
        <v>3.194783808334833</v>
      </c>
      <c r="O63" s="22">
        <f t="shared" si="2"/>
        <v>33.731745191287885</v>
      </c>
    </row>
    <row r="64" spans="1:16" ht="16">
      <c r="A64" s="6" t="s">
        <v>39</v>
      </c>
      <c r="B64" s="6" t="s">
        <v>20</v>
      </c>
      <c r="C64" s="64" t="s">
        <v>75</v>
      </c>
      <c r="D64" s="34">
        <v>59</v>
      </c>
      <c r="E64" s="6" t="s">
        <v>22</v>
      </c>
      <c r="F64" s="6">
        <v>48</v>
      </c>
      <c r="G64" s="6">
        <v>134</v>
      </c>
      <c r="H64" s="6">
        <v>74.527699999999996</v>
      </c>
      <c r="I64" s="6">
        <v>71</v>
      </c>
      <c r="J64" s="6">
        <v>18.715199999999999</v>
      </c>
      <c r="K64" s="8">
        <v>53.865600000000001</v>
      </c>
      <c r="L64" s="8">
        <v>177.381</v>
      </c>
      <c r="M64" s="22">
        <f t="shared" si="0"/>
        <v>0.40480782153480455</v>
      </c>
      <c r="N64" s="22">
        <f t="shared" si="1"/>
        <v>3.194783808334833</v>
      </c>
      <c r="O64" s="22">
        <f t="shared" si="2"/>
        <v>33.364179689334286</v>
      </c>
    </row>
    <row r="65" spans="1:15" ht="16">
      <c r="A65" s="6" t="s">
        <v>39</v>
      </c>
      <c r="B65" s="6" t="s">
        <v>20</v>
      </c>
      <c r="C65" s="64" t="s">
        <v>75</v>
      </c>
      <c r="D65" s="34">
        <v>59</v>
      </c>
      <c r="E65" s="6" t="s">
        <v>23</v>
      </c>
      <c r="F65" s="6">
        <v>48</v>
      </c>
      <c r="G65" s="6">
        <v>137</v>
      </c>
      <c r="H65" s="6">
        <v>73.472200000000001</v>
      </c>
      <c r="I65" s="6">
        <v>70</v>
      </c>
      <c r="J65" s="6">
        <v>17.971299999999999</v>
      </c>
      <c r="K65" s="8">
        <v>53.865600000000001</v>
      </c>
      <c r="L65" s="8">
        <v>177.381</v>
      </c>
      <c r="M65" s="22">
        <f t="shared" si="0"/>
        <v>0.40480782153480455</v>
      </c>
      <c r="N65" s="22">
        <f t="shared" si="1"/>
        <v>3.194783808334833</v>
      </c>
      <c r="O65" s="22">
        <f t="shared" si="2"/>
        <v>32.936905033704299</v>
      </c>
    </row>
    <row r="66" spans="1:15" ht="16">
      <c r="A66" s="6" t="s">
        <v>39</v>
      </c>
      <c r="B66" s="6" t="s">
        <v>20</v>
      </c>
      <c r="C66" s="64" t="s">
        <v>75</v>
      </c>
      <c r="D66" s="34">
        <v>59</v>
      </c>
      <c r="E66" s="6" t="s">
        <v>24</v>
      </c>
      <c r="F66" s="6">
        <v>48</v>
      </c>
      <c r="G66" s="6">
        <v>140</v>
      </c>
      <c r="H66" s="6">
        <v>70.789299999999997</v>
      </c>
      <c r="I66" s="6">
        <v>66</v>
      </c>
      <c r="J66" s="6">
        <v>16.940100000000001</v>
      </c>
      <c r="K66" s="8">
        <v>53.865600000000001</v>
      </c>
      <c r="L66" s="8">
        <v>177.381</v>
      </c>
      <c r="M66" s="22">
        <f t="shared" si="0"/>
        <v>0.40480782153480455</v>
      </c>
      <c r="N66" s="22">
        <f t="shared" si="1"/>
        <v>3.194783808334833</v>
      </c>
      <c r="O66" s="22">
        <f t="shared" si="2"/>
        <v>31.850846129308572</v>
      </c>
    </row>
    <row r="67" spans="1:15" ht="16">
      <c r="A67" s="6" t="s">
        <v>39</v>
      </c>
      <c r="B67" s="6" t="s">
        <v>20</v>
      </c>
      <c r="C67" s="64" t="s">
        <v>75</v>
      </c>
      <c r="D67" s="34">
        <v>59</v>
      </c>
      <c r="E67" s="6" t="s">
        <v>25</v>
      </c>
      <c r="F67" s="6">
        <v>48</v>
      </c>
      <c r="G67" s="6">
        <v>134</v>
      </c>
      <c r="H67" s="6">
        <v>69.999099999999999</v>
      </c>
      <c r="I67" s="6">
        <v>66</v>
      </c>
      <c r="J67" s="6">
        <v>15.851000000000001</v>
      </c>
      <c r="K67" s="8">
        <v>53.865600000000001</v>
      </c>
      <c r="L67" s="8">
        <v>177.381</v>
      </c>
      <c r="M67" s="22">
        <f t="shared" si="0"/>
        <v>0.40480782153480455</v>
      </c>
      <c r="N67" s="22">
        <f t="shared" si="1"/>
        <v>3.194783808334833</v>
      </c>
      <c r="O67" s="22">
        <f t="shared" si="2"/>
        <v>31.53096698873177</v>
      </c>
    </row>
    <row r="68" spans="1:15" ht="16">
      <c r="A68" s="13" t="s">
        <v>39</v>
      </c>
      <c r="B68" s="13" t="s">
        <v>20</v>
      </c>
      <c r="C68" s="65" t="s">
        <v>75</v>
      </c>
      <c r="D68" s="35">
        <v>59</v>
      </c>
      <c r="E68" s="13" t="s">
        <v>26</v>
      </c>
      <c r="F68" s="13">
        <v>37</v>
      </c>
      <c r="G68" s="13">
        <v>93</v>
      </c>
      <c r="H68" s="13">
        <v>56.537500000000001</v>
      </c>
      <c r="I68" s="13">
        <v>55</v>
      </c>
      <c r="J68" s="13">
        <v>9.6864399999999993</v>
      </c>
      <c r="K68" s="8">
        <v>53.865600000000001</v>
      </c>
      <c r="L68" s="8">
        <v>177.381</v>
      </c>
      <c r="M68" s="22">
        <f t="shared" si="0"/>
        <v>0.40480782153480455</v>
      </c>
      <c r="N68" s="22">
        <f t="shared" si="1"/>
        <v>3.194783808334833</v>
      </c>
      <c r="O68" s="22">
        <f t="shared" si="2"/>
        <v>26.081606018358844</v>
      </c>
    </row>
    <row r="69" spans="1:15" ht="16">
      <c r="A69" s="13" t="s">
        <v>39</v>
      </c>
      <c r="B69" s="13" t="s">
        <v>20</v>
      </c>
      <c r="C69" s="65" t="s">
        <v>75</v>
      </c>
      <c r="D69" s="35">
        <v>59</v>
      </c>
      <c r="E69" s="13" t="s">
        <v>27</v>
      </c>
      <c r="F69" s="13">
        <v>37</v>
      </c>
      <c r="G69" s="13">
        <v>97</v>
      </c>
      <c r="H69" s="13">
        <v>58.502000000000002</v>
      </c>
      <c r="I69" s="13">
        <v>56</v>
      </c>
      <c r="J69" s="13">
        <v>9.7740500000000008</v>
      </c>
      <c r="K69" s="8">
        <v>53.865600000000001</v>
      </c>
      <c r="L69" s="8">
        <v>177.381</v>
      </c>
      <c r="M69" s="22">
        <f t="shared" si="0"/>
        <v>0.40480782153480455</v>
      </c>
      <c r="N69" s="22">
        <f t="shared" si="1"/>
        <v>3.194783808334833</v>
      </c>
      <c r="O69" s="22">
        <f t="shared" si="2"/>
        <v>26.876850983763969</v>
      </c>
    </row>
    <row r="70" spans="1:15" ht="16">
      <c r="A70" s="13" t="s">
        <v>39</v>
      </c>
      <c r="B70" s="13" t="s">
        <v>20</v>
      </c>
      <c r="C70" s="65" t="s">
        <v>75</v>
      </c>
      <c r="D70" s="35">
        <v>59</v>
      </c>
      <c r="E70" s="13" t="s">
        <v>28</v>
      </c>
      <c r="F70" s="13">
        <v>37</v>
      </c>
      <c r="G70" s="13">
        <v>108</v>
      </c>
      <c r="H70" s="13">
        <v>58.744999999999997</v>
      </c>
      <c r="I70" s="13">
        <v>57</v>
      </c>
      <c r="J70" s="13">
        <v>10.5931</v>
      </c>
      <c r="K70" s="8">
        <v>53.865600000000001</v>
      </c>
      <c r="L70" s="8">
        <v>177.381</v>
      </c>
      <c r="M70" s="22">
        <f t="shared" si="0"/>
        <v>0.40480782153480455</v>
      </c>
      <c r="N70" s="22">
        <f t="shared" si="1"/>
        <v>3.194783808334833</v>
      </c>
      <c r="O70" s="22">
        <f t="shared" si="2"/>
        <v>26.975219284396925</v>
      </c>
    </row>
    <row r="71" spans="1:15" ht="16">
      <c r="A71" s="13" t="s">
        <v>39</v>
      </c>
      <c r="B71" s="13" t="s">
        <v>20</v>
      </c>
      <c r="C71" s="65" t="s">
        <v>75</v>
      </c>
      <c r="D71" s="35">
        <v>59</v>
      </c>
      <c r="E71" s="13" t="s">
        <v>29</v>
      </c>
      <c r="F71" s="13">
        <v>37</v>
      </c>
      <c r="G71" s="13">
        <v>99</v>
      </c>
      <c r="H71" s="13">
        <v>59.643500000000003</v>
      </c>
      <c r="I71" s="13">
        <v>58</v>
      </c>
      <c r="J71" s="13">
        <v>10.640599999999999</v>
      </c>
      <c r="K71" s="8">
        <v>53.865600000000001</v>
      </c>
      <c r="L71" s="8">
        <v>177.381</v>
      </c>
      <c r="M71" s="22">
        <f t="shared" si="0"/>
        <v>0.40480782153480455</v>
      </c>
      <c r="N71" s="22">
        <f t="shared" si="1"/>
        <v>3.194783808334833</v>
      </c>
      <c r="O71" s="22">
        <f t="shared" si="2"/>
        <v>27.338939112045949</v>
      </c>
    </row>
    <row r="72" spans="1:15" ht="16">
      <c r="A72" s="13" t="s">
        <v>39</v>
      </c>
      <c r="B72" s="13" t="s">
        <v>20</v>
      </c>
      <c r="C72" s="65" t="s">
        <v>75</v>
      </c>
      <c r="D72" s="35">
        <v>59</v>
      </c>
      <c r="E72" s="13" t="s">
        <v>30</v>
      </c>
      <c r="F72" s="13">
        <v>39</v>
      </c>
      <c r="G72" s="13">
        <v>102</v>
      </c>
      <c r="H72" s="13">
        <v>60.133200000000002</v>
      </c>
      <c r="I72" s="13">
        <v>58</v>
      </c>
      <c r="J72" s="13">
        <v>10.243399999999999</v>
      </c>
      <c r="K72" s="8">
        <v>53.865600000000001</v>
      </c>
      <c r="L72" s="8">
        <v>177.381</v>
      </c>
      <c r="M72" s="22">
        <f t="shared" si="0"/>
        <v>0.40480782153480455</v>
      </c>
      <c r="N72" s="22">
        <f t="shared" si="1"/>
        <v>3.194783808334833</v>
      </c>
      <c r="O72" s="22">
        <f t="shared" si="2"/>
        <v>27.537173502251541</v>
      </c>
    </row>
    <row r="73" spans="1:15" ht="16">
      <c r="A73" s="36" t="s">
        <v>39</v>
      </c>
      <c r="B73" s="36" t="s">
        <v>20</v>
      </c>
      <c r="C73" s="70" t="s">
        <v>75</v>
      </c>
      <c r="D73" s="37">
        <v>59</v>
      </c>
      <c r="E73" s="36" t="s">
        <v>31</v>
      </c>
      <c r="F73" s="36">
        <v>46</v>
      </c>
      <c r="G73" s="36">
        <v>160</v>
      </c>
      <c r="H73" s="36">
        <v>81.010199999999998</v>
      </c>
      <c r="I73" s="36">
        <v>75</v>
      </c>
      <c r="J73" s="36">
        <v>26.316199999999998</v>
      </c>
      <c r="K73" s="8">
        <v>53.865600000000001</v>
      </c>
      <c r="L73" s="8">
        <v>177.381</v>
      </c>
      <c r="M73" s="22">
        <f t="shared" si="0"/>
        <v>0.40480782153480455</v>
      </c>
      <c r="N73" s="22">
        <f t="shared" si="1"/>
        <v>3.194783808334833</v>
      </c>
      <c r="O73" s="22">
        <f t="shared" si="2"/>
        <v>35.988346392433655</v>
      </c>
    </row>
    <row r="74" spans="1:15" ht="16">
      <c r="A74" s="36" t="s">
        <v>39</v>
      </c>
      <c r="B74" s="36" t="s">
        <v>20</v>
      </c>
      <c r="C74" s="70" t="s">
        <v>75</v>
      </c>
      <c r="D74" s="37">
        <v>59</v>
      </c>
      <c r="E74" s="36" t="s">
        <v>32</v>
      </c>
      <c r="F74" s="36">
        <v>46</v>
      </c>
      <c r="G74" s="36">
        <v>166</v>
      </c>
      <c r="H74" s="36">
        <v>82.596900000000005</v>
      </c>
      <c r="I74" s="36">
        <v>77</v>
      </c>
      <c r="J74" s="36">
        <v>27.386600000000001</v>
      </c>
      <c r="K74" s="8">
        <v>53.865600000000001</v>
      </c>
      <c r="L74" s="8">
        <v>177.381</v>
      </c>
      <c r="M74" s="22">
        <f t="shared" si="0"/>
        <v>0.40480782153480455</v>
      </c>
      <c r="N74" s="22">
        <f t="shared" si="1"/>
        <v>3.194783808334833</v>
      </c>
      <c r="O74" s="22">
        <f t="shared" si="2"/>
        <v>36.630654962862934</v>
      </c>
    </row>
    <row r="75" spans="1:15" ht="16">
      <c r="A75" s="36" t="s">
        <v>39</v>
      </c>
      <c r="B75" s="36" t="s">
        <v>20</v>
      </c>
      <c r="C75" s="70" t="s">
        <v>75</v>
      </c>
      <c r="D75" s="37">
        <v>59</v>
      </c>
      <c r="E75" s="36" t="s">
        <v>33</v>
      </c>
      <c r="F75" s="36">
        <v>46</v>
      </c>
      <c r="G75" s="36">
        <v>168</v>
      </c>
      <c r="H75" s="36">
        <v>82.765000000000001</v>
      </c>
      <c r="I75" s="36">
        <v>76</v>
      </c>
      <c r="J75" s="36">
        <v>27.838100000000001</v>
      </c>
      <c r="K75" s="8">
        <v>53.865600000000001</v>
      </c>
      <c r="L75" s="8">
        <v>177.381</v>
      </c>
      <c r="M75" s="22">
        <f t="shared" si="0"/>
        <v>0.40480782153480455</v>
      </c>
      <c r="N75" s="22">
        <f t="shared" si="1"/>
        <v>3.194783808334833</v>
      </c>
      <c r="O75" s="22">
        <f t="shared" si="2"/>
        <v>36.698703157662933</v>
      </c>
    </row>
    <row r="76" spans="1:15" ht="16">
      <c r="A76" s="36" t="s">
        <v>39</v>
      </c>
      <c r="B76" s="36" t="s">
        <v>20</v>
      </c>
      <c r="C76" s="70" t="s">
        <v>75</v>
      </c>
      <c r="D76" s="37">
        <v>59</v>
      </c>
      <c r="E76" s="36" t="s">
        <v>34</v>
      </c>
      <c r="F76" s="36">
        <v>46</v>
      </c>
      <c r="G76" s="36">
        <v>168</v>
      </c>
      <c r="H76" s="36">
        <v>85.012699999999995</v>
      </c>
      <c r="I76" s="36">
        <v>79</v>
      </c>
      <c r="J76" s="36">
        <v>29.606200000000001</v>
      </c>
      <c r="K76" s="8">
        <v>53.865600000000001</v>
      </c>
      <c r="L76" s="8">
        <v>177.381</v>
      </c>
      <c r="M76" s="22">
        <f t="shared" si="0"/>
        <v>0.40480782153480455</v>
      </c>
      <c r="N76" s="22">
        <f t="shared" si="1"/>
        <v>3.194783808334833</v>
      </c>
      <c r="O76" s="22">
        <f t="shared" si="2"/>
        <v>37.608589698126707</v>
      </c>
    </row>
    <row r="77" spans="1:15" ht="16">
      <c r="A77" s="36" t="s">
        <v>39</v>
      </c>
      <c r="B77" s="36" t="s">
        <v>20</v>
      </c>
      <c r="C77" s="70" t="s">
        <v>75</v>
      </c>
      <c r="D77" s="37">
        <v>59</v>
      </c>
      <c r="E77" s="36" t="s">
        <v>35</v>
      </c>
      <c r="F77" s="36">
        <v>46</v>
      </c>
      <c r="G77" s="36">
        <v>174</v>
      </c>
      <c r="H77" s="36">
        <v>84.206800000000001</v>
      </c>
      <c r="I77" s="36">
        <v>77</v>
      </c>
      <c r="J77" s="36">
        <v>29.596499999999999</v>
      </c>
      <c r="K77" s="8">
        <v>53.865600000000001</v>
      </c>
      <c r="L77" s="8">
        <v>177.381</v>
      </c>
      <c r="M77" s="22">
        <f t="shared" si="0"/>
        <v>0.40480782153480455</v>
      </c>
      <c r="N77" s="22">
        <f t="shared" si="1"/>
        <v>3.194783808334833</v>
      </c>
      <c r="O77" s="22">
        <f t="shared" si="2"/>
        <v>37.282355074751813</v>
      </c>
    </row>
    <row r="78" spans="1:15" ht="16">
      <c r="A78" s="6" t="s">
        <v>39</v>
      </c>
      <c r="B78" s="6" t="s">
        <v>38</v>
      </c>
      <c r="C78" s="64" t="s">
        <v>74</v>
      </c>
      <c r="D78" s="6">
        <v>58</v>
      </c>
      <c r="E78" s="6" t="s">
        <v>21</v>
      </c>
      <c r="F78" s="6">
        <v>19</v>
      </c>
      <c r="G78" s="6">
        <v>145</v>
      </c>
      <c r="H78" s="6">
        <v>72.121099999999998</v>
      </c>
      <c r="I78" s="6">
        <v>69</v>
      </c>
      <c r="J78" s="6">
        <v>20.301300000000001</v>
      </c>
      <c r="K78" s="8">
        <v>53.865600000000001</v>
      </c>
      <c r="L78" s="8">
        <v>177.381</v>
      </c>
      <c r="M78" s="22">
        <f t="shared" si="0"/>
        <v>0.40480782153480455</v>
      </c>
      <c r="N78" s="22">
        <f t="shared" si="1"/>
        <v>3.194783808334833</v>
      </c>
      <c r="O78" s="22">
        <f t="shared" si="2"/>
        <v>32.389969186028623</v>
      </c>
    </row>
    <row r="79" spans="1:15" ht="16">
      <c r="A79" s="6" t="s">
        <v>39</v>
      </c>
      <c r="B79" s="6" t="s">
        <v>38</v>
      </c>
      <c r="C79" s="64" t="s">
        <v>74</v>
      </c>
      <c r="D79" s="6">
        <v>58</v>
      </c>
      <c r="E79" s="6" t="s">
        <v>22</v>
      </c>
      <c r="F79" s="6">
        <v>39</v>
      </c>
      <c r="G79" s="6">
        <v>145</v>
      </c>
      <c r="H79" s="6">
        <v>78.920299999999997</v>
      </c>
      <c r="I79" s="6">
        <v>75</v>
      </c>
      <c r="J79" s="6">
        <v>17.325399999999998</v>
      </c>
      <c r="K79" s="8">
        <v>53.865600000000001</v>
      </c>
      <c r="L79" s="8">
        <v>177.381</v>
      </c>
      <c r="M79" s="22">
        <f t="shared" si="0"/>
        <v>0.40480782153480455</v>
      </c>
      <c r="N79" s="22">
        <f t="shared" si="1"/>
        <v>3.194783808334833</v>
      </c>
      <c r="O79" s="22">
        <f t="shared" si="2"/>
        <v>35.142338526208064</v>
      </c>
    </row>
    <row r="80" spans="1:15" ht="16">
      <c r="A80" s="6" t="s">
        <v>39</v>
      </c>
      <c r="B80" s="6" t="s">
        <v>38</v>
      </c>
      <c r="C80" s="64" t="s">
        <v>74</v>
      </c>
      <c r="D80" s="6">
        <v>58</v>
      </c>
      <c r="E80" s="6" t="s">
        <v>23</v>
      </c>
      <c r="F80" s="6">
        <v>50</v>
      </c>
      <c r="G80" s="6">
        <v>138</v>
      </c>
      <c r="H80" s="6">
        <v>76.403800000000004</v>
      </c>
      <c r="I80" s="6">
        <v>72</v>
      </c>
      <c r="J80" s="6">
        <v>16.5215</v>
      </c>
      <c r="K80" s="8">
        <v>53.865600000000001</v>
      </c>
      <c r="L80" s="8">
        <v>177.381</v>
      </c>
      <c r="M80" s="22">
        <f t="shared" si="0"/>
        <v>0.40480782153480455</v>
      </c>
      <c r="N80" s="22">
        <f t="shared" si="1"/>
        <v>3.194783808334833</v>
      </c>
      <c r="O80" s="22">
        <f t="shared" si="2"/>
        <v>34.123639643315734</v>
      </c>
    </row>
    <row r="81" spans="1:15" ht="16">
      <c r="A81" s="6" t="s">
        <v>39</v>
      </c>
      <c r="B81" s="6" t="s">
        <v>38</v>
      </c>
      <c r="C81" s="64" t="s">
        <v>74</v>
      </c>
      <c r="D81" s="6">
        <v>58</v>
      </c>
      <c r="E81" s="6" t="s">
        <v>24</v>
      </c>
      <c r="F81" s="6">
        <v>51</v>
      </c>
      <c r="G81" s="6">
        <v>129</v>
      </c>
      <c r="H81" s="6">
        <v>75.328500000000005</v>
      </c>
      <c r="I81" s="6">
        <v>72</v>
      </c>
      <c r="J81" s="6">
        <v>14.9634</v>
      </c>
      <c r="K81" s="8">
        <v>53.865600000000001</v>
      </c>
      <c r="L81" s="8">
        <v>177.381</v>
      </c>
      <c r="M81" s="22">
        <f t="shared" si="0"/>
        <v>0.40480782153480455</v>
      </c>
      <c r="N81" s="22">
        <f t="shared" si="1"/>
        <v>3.194783808334833</v>
      </c>
      <c r="O81" s="22">
        <f t="shared" si="2"/>
        <v>33.688349792819359</v>
      </c>
    </row>
    <row r="82" spans="1:15" ht="16">
      <c r="A82" s="6" t="s">
        <v>39</v>
      </c>
      <c r="B82" s="6" t="s">
        <v>38</v>
      </c>
      <c r="C82" s="64" t="s">
        <v>74</v>
      </c>
      <c r="D82" s="6">
        <v>58</v>
      </c>
      <c r="E82" s="6" t="s">
        <v>25</v>
      </c>
      <c r="F82" s="6">
        <v>33</v>
      </c>
      <c r="G82" s="6">
        <v>127</v>
      </c>
      <c r="H82" s="6">
        <v>72.183300000000003</v>
      </c>
      <c r="I82" s="6">
        <v>69</v>
      </c>
      <c r="J82" s="6">
        <v>14.4297</v>
      </c>
      <c r="K82" s="8">
        <v>53.865600000000001</v>
      </c>
      <c r="L82" s="8">
        <v>177.381</v>
      </c>
      <c r="M82" s="22">
        <f t="shared" si="0"/>
        <v>0.40480782153480455</v>
      </c>
      <c r="N82" s="22">
        <f t="shared" si="1"/>
        <v>3.194783808334833</v>
      </c>
      <c r="O82" s="22">
        <f t="shared" si="2"/>
        <v>32.41514823252809</v>
      </c>
    </row>
    <row r="83" spans="1:15" ht="16">
      <c r="A83" s="13" t="s">
        <v>39</v>
      </c>
      <c r="B83" s="13" t="s">
        <v>38</v>
      </c>
      <c r="C83" s="65" t="s">
        <v>74</v>
      </c>
      <c r="D83" s="13">
        <v>58</v>
      </c>
      <c r="E83" s="13" t="s">
        <v>26</v>
      </c>
      <c r="F83" s="13">
        <v>31</v>
      </c>
      <c r="G83" s="13">
        <v>103</v>
      </c>
      <c r="H83" s="13">
        <v>59.542299999999997</v>
      </c>
      <c r="I83" s="13">
        <v>57</v>
      </c>
      <c r="J83" s="13">
        <v>11.0572</v>
      </c>
      <c r="K83" s="8">
        <v>53.865600000000001</v>
      </c>
      <c r="L83" s="8">
        <v>177.381</v>
      </c>
      <c r="M83" s="22">
        <f t="shared" si="0"/>
        <v>0.40480782153480455</v>
      </c>
      <c r="N83" s="22">
        <f t="shared" si="1"/>
        <v>3.194783808334833</v>
      </c>
      <c r="O83" s="22">
        <f t="shared" si="2"/>
        <v>27.297972560506626</v>
      </c>
    </row>
    <row r="84" spans="1:15" ht="16">
      <c r="A84" s="13" t="s">
        <v>39</v>
      </c>
      <c r="B84" s="13" t="s">
        <v>38</v>
      </c>
      <c r="C84" s="65" t="s">
        <v>74</v>
      </c>
      <c r="D84" s="13">
        <v>58</v>
      </c>
      <c r="E84" s="13" t="s">
        <v>27</v>
      </c>
      <c r="F84" s="13">
        <v>36</v>
      </c>
      <c r="G84" s="13">
        <v>104</v>
      </c>
      <c r="H84" s="13">
        <v>59.666699999999999</v>
      </c>
      <c r="I84" s="13">
        <v>57</v>
      </c>
      <c r="J84" s="13">
        <v>11.1562</v>
      </c>
      <c r="K84" s="8">
        <v>53.865600000000001</v>
      </c>
      <c r="L84" s="8">
        <v>177.381</v>
      </c>
      <c r="M84" s="22">
        <f t="shared" si="0"/>
        <v>0.40480782153480455</v>
      </c>
      <c r="N84" s="22">
        <f t="shared" si="1"/>
        <v>3.194783808334833</v>
      </c>
      <c r="O84" s="22">
        <f t="shared" si="2"/>
        <v>27.348330653505556</v>
      </c>
    </row>
    <row r="85" spans="1:15" ht="16">
      <c r="A85" s="13" t="s">
        <v>39</v>
      </c>
      <c r="B85" s="13" t="s">
        <v>38</v>
      </c>
      <c r="C85" s="65" t="s">
        <v>74</v>
      </c>
      <c r="D85" s="13">
        <v>58</v>
      </c>
      <c r="E85" s="13" t="s">
        <v>28</v>
      </c>
      <c r="F85" s="13">
        <v>31</v>
      </c>
      <c r="G85" s="13">
        <v>103</v>
      </c>
      <c r="H85" s="13">
        <v>59.973399999999998</v>
      </c>
      <c r="I85" s="13">
        <v>57</v>
      </c>
      <c r="J85" s="13">
        <v>11.196099999999999</v>
      </c>
      <c r="K85" s="8">
        <v>53.865600000000001</v>
      </c>
      <c r="L85" s="8">
        <v>177.381</v>
      </c>
      <c r="M85" s="22">
        <f t="shared" si="0"/>
        <v>0.40480782153480455</v>
      </c>
      <c r="N85" s="22">
        <f t="shared" si="1"/>
        <v>3.194783808334833</v>
      </c>
      <c r="O85" s="22">
        <f t="shared" si="2"/>
        <v>27.47248521237028</v>
      </c>
    </row>
    <row r="86" spans="1:15" ht="16">
      <c r="A86" s="13" t="s">
        <v>39</v>
      </c>
      <c r="B86" s="13" t="s">
        <v>38</v>
      </c>
      <c r="C86" s="65" t="s">
        <v>74</v>
      </c>
      <c r="D86" s="13">
        <v>58</v>
      </c>
      <c r="E86" s="13" t="s">
        <v>29</v>
      </c>
      <c r="F86" s="13">
        <v>36</v>
      </c>
      <c r="G86" s="13">
        <v>93</v>
      </c>
      <c r="H86" s="13">
        <v>59.8887</v>
      </c>
      <c r="I86" s="13">
        <v>58</v>
      </c>
      <c r="J86" s="13">
        <v>10.829000000000001</v>
      </c>
      <c r="K86" s="8">
        <v>53.865600000000001</v>
      </c>
      <c r="L86" s="8">
        <v>177.381</v>
      </c>
      <c r="M86" s="22">
        <f t="shared" si="0"/>
        <v>0.40480782153480455</v>
      </c>
      <c r="N86" s="22">
        <f t="shared" si="1"/>
        <v>3.194783808334833</v>
      </c>
      <c r="O86" s="22">
        <f t="shared" si="2"/>
        <v>27.438197989886284</v>
      </c>
    </row>
    <row r="87" spans="1:15" ht="16">
      <c r="A87" s="13" t="s">
        <v>39</v>
      </c>
      <c r="B87" s="13" t="s">
        <v>38</v>
      </c>
      <c r="C87" s="65" t="s">
        <v>74</v>
      </c>
      <c r="D87" s="13">
        <v>58</v>
      </c>
      <c r="E87" s="13" t="s">
        <v>30</v>
      </c>
      <c r="F87" s="13">
        <v>36</v>
      </c>
      <c r="G87" s="13">
        <v>93</v>
      </c>
      <c r="H87" s="13">
        <v>58.677799999999998</v>
      </c>
      <c r="I87" s="13">
        <v>56</v>
      </c>
      <c r="J87" s="13">
        <v>10.736800000000001</v>
      </c>
      <c r="K87" s="8">
        <v>53.865600000000001</v>
      </c>
      <c r="L87" s="8">
        <v>177.381</v>
      </c>
      <c r="M87" s="22">
        <f t="shared" si="0"/>
        <v>0.40480782153480455</v>
      </c>
      <c r="N87" s="22">
        <f t="shared" si="1"/>
        <v>3.194783808334833</v>
      </c>
      <c r="O87" s="22">
        <f t="shared" si="2"/>
        <v>26.948016198789787</v>
      </c>
    </row>
    <row r="88" spans="1:15" ht="16">
      <c r="A88" s="36" t="s">
        <v>39</v>
      </c>
      <c r="B88" s="36" t="s">
        <v>38</v>
      </c>
      <c r="C88" s="70" t="s">
        <v>74</v>
      </c>
      <c r="D88" s="36">
        <v>58</v>
      </c>
      <c r="E88" s="36" t="s">
        <v>31</v>
      </c>
      <c r="F88" s="36">
        <v>37</v>
      </c>
      <c r="G88" s="36">
        <v>163</v>
      </c>
      <c r="H88" s="36">
        <v>90.047300000000007</v>
      </c>
      <c r="I88" s="36">
        <v>86</v>
      </c>
      <c r="J88" s="36">
        <v>21.5701</v>
      </c>
      <c r="K88" s="8">
        <v>53.865600000000001</v>
      </c>
      <c r="L88" s="8">
        <v>177.381</v>
      </c>
      <c r="M88" s="22">
        <f t="shared" si="0"/>
        <v>0.40480782153480455</v>
      </c>
      <c r="N88" s="22">
        <f t="shared" si="1"/>
        <v>3.194783808334833</v>
      </c>
      <c r="O88" s="22">
        <f t="shared" si="2"/>
        <v>39.646635156425845</v>
      </c>
    </row>
    <row r="89" spans="1:15" ht="16">
      <c r="A89" s="36" t="s">
        <v>39</v>
      </c>
      <c r="B89" s="36" t="s">
        <v>38</v>
      </c>
      <c r="C89" s="70" t="s">
        <v>74</v>
      </c>
      <c r="D89" s="36">
        <v>58</v>
      </c>
      <c r="E89" s="36" t="s">
        <v>32</v>
      </c>
      <c r="F89" s="36">
        <v>60</v>
      </c>
      <c r="G89" s="36">
        <v>160</v>
      </c>
      <c r="H89" s="36">
        <v>90.738399999999999</v>
      </c>
      <c r="I89" s="36">
        <v>87</v>
      </c>
      <c r="J89" s="36">
        <v>21.682600000000001</v>
      </c>
      <c r="K89" s="8">
        <v>53.865600000000001</v>
      </c>
      <c r="L89" s="8">
        <v>177.381</v>
      </c>
      <c r="M89" s="22">
        <f t="shared" si="0"/>
        <v>0.40480782153480455</v>
      </c>
      <c r="N89" s="22">
        <f t="shared" si="1"/>
        <v>3.194783808334833</v>
      </c>
      <c r="O89" s="22">
        <f t="shared" si="2"/>
        <v>39.926397841888544</v>
      </c>
    </row>
    <row r="90" spans="1:15" ht="16">
      <c r="A90" s="36" t="s">
        <v>39</v>
      </c>
      <c r="B90" s="36" t="s">
        <v>38</v>
      </c>
      <c r="C90" s="70" t="s">
        <v>74</v>
      </c>
      <c r="D90" s="36">
        <v>58</v>
      </c>
      <c r="E90" s="36" t="s">
        <v>33</v>
      </c>
      <c r="F90" s="36">
        <v>60</v>
      </c>
      <c r="G90" s="36">
        <v>166</v>
      </c>
      <c r="H90" s="36">
        <v>91.835300000000004</v>
      </c>
      <c r="I90" s="36">
        <v>87</v>
      </c>
      <c r="J90" s="36">
        <v>22.6769</v>
      </c>
      <c r="K90" s="8">
        <v>53.865600000000001</v>
      </c>
      <c r="L90" s="8">
        <v>177.381</v>
      </c>
      <c r="M90" s="22">
        <f t="shared" si="0"/>
        <v>0.40480782153480455</v>
      </c>
      <c r="N90" s="22">
        <f t="shared" si="1"/>
        <v>3.194783808334833</v>
      </c>
      <c r="O90" s="22">
        <f t="shared" si="2"/>
        <v>40.370431541330071</v>
      </c>
    </row>
    <row r="91" spans="1:15" ht="16">
      <c r="A91" s="36" t="s">
        <v>39</v>
      </c>
      <c r="B91" s="36" t="s">
        <v>38</v>
      </c>
      <c r="C91" s="70" t="s">
        <v>74</v>
      </c>
      <c r="D91" s="36">
        <v>58</v>
      </c>
      <c r="E91" s="36" t="s">
        <v>34</v>
      </c>
      <c r="F91" s="36">
        <v>34</v>
      </c>
      <c r="G91" s="36">
        <v>171</v>
      </c>
      <c r="H91" s="36">
        <v>94.059899999999999</v>
      </c>
      <c r="I91" s="36">
        <v>89</v>
      </c>
      <c r="J91" s="36">
        <v>24.822900000000001</v>
      </c>
      <c r="K91" s="8">
        <v>53.865600000000001</v>
      </c>
      <c r="L91" s="8">
        <v>177.381</v>
      </c>
      <c r="M91" s="22">
        <f t="shared" si="0"/>
        <v>0.40480782153480455</v>
      </c>
      <c r="N91" s="22">
        <f t="shared" si="1"/>
        <v>3.194783808334833</v>
      </c>
      <c r="O91" s="22">
        <f t="shared" si="2"/>
        <v>41.270967021116398</v>
      </c>
    </row>
    <row r="92" spans="1:15" ht="16">
      <c r="A92" s="36" t="s">
        <v>39</v>
      </c>
      <c r="B92" s="36" t="s">
        <v>38</v>
      </c>
      <c r="C92" s="70" t="s">
        <v>74</v>
      </c>
      <c r="D92" s="36">
        <v>58</v>
      </c>
      <c r="E92" s="36" t="s">
        <v>35</v>
      </c>
      <c r="F92" s="36">
        <v>60</v>
      </c>
      <c r="G92" s="36">
        <v>178</v>
      </c>
      <c r="H92" s="36">
        <v>96.264399999999995</v>
      </c>
      <c r="I92" s="36">
        <v>92</v>
      </c>
      <c r="J92" s="36">
        <v>25.1311</v>
      </c>
      <c r="K92" s="8">
        <v>53.865600000000001</v>
      </c>
      <c r="L92" s="8">
        <v>177.381</v>
      </c>
      <c r="M92" s="22">
        <f t="shared" si="0"/>
        <v>0.40480782153480455</v>
      </c>
      <c r="N92" s="22">
        <f t="shared" si="1"/>
        <v>3.194783808334833</v>
      </c>
      <c r="O92" s="22">
        <f t="shared" si="2"/>
        <v>42.163365863689869</v>
      </c>
    </row>
    <row r="93" spans="1:15" ht="16">
      <c r="A93" s="6" t="s">
        <v>41</v>
      </c>
      <c r="B93" s="6" t="s">
        <v>42</v>
      </c>
      <c r="C93" s="64" t="s">
        <v>75</v>
      </c>
      <c r="D93" s="6">
        <v>65</v>
      </c>
      <c r="E93" s="38" t="s">
        <v>21</v>
      </c>
      <c r="F93" s="6">
        <v>60</v>
      </c>
      <c r="G93" s="6">
        <v>206</v>
      </c>
      <c r="H93" s="6">
        <v>102.238</v>
      </c>
      <c r="I93" s="6">
        <v>97</v>
      </c>
      <c r="J93" s="6">
        <v>30.179600000000001</v>
      </c>
      <c r="K93" s="8">
        <v>62.023200000000003</v>
      </c>
      <c r="L93" s="8">
        <v>255</v>
      </c>
      <c r="M93" s="22">
        <f t="shared" si="0"/>
        <v>0.25909850303248888</v>
      </c>
      <c r="N93" s="22">
        <f t="shared" si="1"/>
        <v>8.9298817267153332</v>
      </c>
      <c r="O93" s="22">
        <f t="shared" si="2"/>
        <v>35.419594479750927</v>
      </c>
    </row>
    <row r="94" spans="1:15" ht="16">
      <c r="A94" s="6" t="s">
        <v>41</v>
      </c>
      <c r="B94" s="6" t="s">
        <v>42</v>
      </c>
      <c r="C94" s="64" t="s">
        <v>75</v>
      </c>
      <c r="D94" s="6">
        <v>65</v>
      </c>
      <c r="E94" s="38" t="s">
        <v>22</v>
      </c>
      <c r="F94" s="6">
        <v>60</v>
      </c>
      <c r="G94" s="6">
        <v>206</v>
      </c>
      <c r="H94" s="6">
        <v>99.639099999999999</v>
      </c>
      <c r="I94" s="6">
        <v>94</v>
      </c>
      <c r="J94" s="6">
        <v>28.721800000000002</v>
      </c>
      <c r="K94" s="8">
        <v>62.023200000000003</v>
      </c>
      <c r="L94" s="8">
        <v>255</v>
      </c>
      <c r="M94" s="22">
        <f t="shared" si="0"/>
        <v>0.25909850303248888</v>
      </c>
      <c r="N94" s="22">
        <f t="shared" si="1"/>
        <v>8.9298817267153332</v>
      </c>
      <c r="O94" s="22">
        <f t="shared" si="2"/>
        <v>34.746223380219796</v>
      </c>
    </row>
    <row r="95" spans="1:15" ht="16">
      <c r="A95" s="6" t="s">
        <v>41</v>
      </c>
      <c r="B95" s="6" t="s">
        <v>42</v>
      </c>
      <c r="C95" s="64" t="s">
        <v>75</v>
      </c>
      <c r="D95" s="6">
        <v>65</v>
      </c>
      <c r="E95" s="38" t="s">
        <v>23</v>
      </c>
      <c r="F95" s="6">
        <v>60</v>
      </c>
      <c r="G95" s="6">
        <v>197</v>
      </c>
      <c r="H95" s="6">
        <v>98.042500000000004</v>
      </c>
      <c r="I95" s="6">
        <v>93</v>
      </c>
      <c r="J95" s="6">
        <v>27.2134</v>
      </c>
      <c r="K95" s="8">
        <v>62.023200000000003</v>
      </c>
      <c r="L95" s="8">
        <v>255</v>
      </c>
      <c r="M95" s="22">
        <f t="shared" si="0"/>
        <v>0.25909850303248888</v>
      </c>
      <c r="N95" s="22">
        <f t="shared" si="1"/>
        <v>8.9298817267153332</v>
      </c>
      <c r="O95" s="22">
        <f t="shared" si="2"/>
        <v>34.332546710278123</v>
      </c>
    </row>
    <row r="96" spans="1:15" ht="16">
      <c r="A96" s="6" t="s">
        <v>41</v>
      </c>
      <c r="B96" s="6" t="s">
        <v>42</v>
      </c>
      <c r="C96" s="64" t="s">
        <v>75</v>
      </c>
      <c r="D96" s="6">
        <v>65</v>
      </c>
      <c r="E96" s="38" t="s">
        <v>24</v>
      </c>
      <c r="F96" s="6">
        <v>60</v>
      </c>
      <c r="G96" s="6">
        <v>191</v>
      </c>
      <c r="H96" s="6">
        <v>96.650499999999994</v>
      </c>
      <c r="I96" s="6">
        <v>92</v>
      </c>
      <c r="J96" s="6">
        <v>26.140599999999999</v>
      </c>
      <c r="K96" s="8">
        <v>62.023200000000003</v>
      </c>
      <c r="L96" s="8">
        <v>255</v>
      </c>
      <c r="M96" s="22">
        <f t="shared" si="0"/>
        <v>0.25909850303248888</v>
      </c>
      <c r="N96" s="22">
        <f t="shared" si="1"/>
        <v>8.9298817267153332</v>
      </c>
      <c r="O96" s="22">
        <f t="shared" si="2"/>
        <v>33.971881594056896</v>
      </c>
    </row>
    <row r="97" spans="1:15" ht="16">
      <c r="A97" s="6" t="s">
        <v>41</v>
      </c>
      <c r="B97" s="6" t="s">
        <v>42</v>
      </c>
      <c r="C97" s="64" t="s">
        <v>75</v>
      </c>
      <c r="D97" s="6">
        <v>65</v>
      </c>
      <c r="E97" s="38" t="s">
        <v>25</v>
      </c>
      <c r="F97" s="6">
        <v>60</v>
      </c>
      <c r="G97" s="6">
        <v>179</v>
      </c>
      <c r="H97" s="6">
        <v>95.2714</v>
      </c>
      <c r="I97" s="6">
        <v>91</v>
      </c>
      <c r="J97" s="6">
        <v>25.000900000000001</v>
      </c>
      <c r="K97" s="8">
        <v>62.023200000000003</v>
      </c>
      <c r="L97" s="8">
        <v>255</v>
      </c>
      <c r="M97" s="22">
        <f t="shared" si="0"/>
        <v>0.25909850303248888</v>
      </c>
      <c r="N97" s="22">
        <f t="shared" si="1"/>
        <v>8.9298817267153332</v>
      </c>
      <c r="O97" s="22">
        <f t="shared" si="2"/>
        <v>33.614558848524794</v>
      </c>
    </row>
    <row r="98" spans="1:15" ht="16">
      <c r="A98" s="13" t="s">
        <v>41</v>
      </c>
      <c r="B98" s="13" t="s">
        <v>42</v>
      </c>
      <c r="C98" s="65" t="s">
        <v>75</v>
      </c>
      <c r="D98" s="13">
        <v>65</v>
      </c>
      <c r="E98" s="39" t="s">
        <v>26</v>
      </c>
      <c r="F98" s="13">
        <v>52</v>
      </c>
      <c r="G98" s="13">
        <v>152</v>
      </c>
      <c r="H98" s="13">
        <v>81.122299999999996</v>
      </c>
      <c r="I98" s="13">
        <v>77</v>
      </c>
      <c r="J98" s="13">
        <v>21.0976</v>
      </c>
      <c r="K98" s="8">
        <v>62.023200000000003</v>
      </c>
      <c r="L98" s="8">
        <v>255</v>
      </c>
      <c r="M98" s="22">
        <f t="shared" si="0"/>
        <v>0.25909850303248888</v>
      </c>
      <c r="N98" s="22">
        <f t="shared" si="1"/>
        <v>8.9298817267153332</v>
      </c>
      <c r="O98" s="22">
        <f t="shared" si="2"/>
        <v>29.948548219267806</v>
      </c>
    </row>
    <row r="99" spans="1:15" ht="16">
      <c r="A99" s="13" t="s">
        <v>41</v>
      </c>
      <c r="B99" s="13" t="s">
        <v>42</v>
      </c>
      <c r="C99" s="65" t="s">
        <v>75</v>
      </c>
      <c r="D99" s="13">
        <v>65</v>
      </c>
      <c r="E99" s="39" t="s">
        <v>27</v>
      </c>
      <c r="F99" s="13">
        <v>52</v>
      </c>
      <c r="G99" s="13">
        <v>152</v>
      </c>
      <c r="H99" s="13">
        <v>78.122399999999999</v>
      </c>
      <c r="I99" s="13">
        <v>75</v>
      </c>
      <c r="J99" s="13">
        <v>18.682600000000001</v>
      </c>
      <c r="K99" s="8">
        <v>62.023200000000003</v>
      </c>
      <c r="L99" s="8">
        <v>255</v>
      </c>
      <c r="M99" s="22">
        <f t="shared" si="0"/>
        <v>0.25909850303248888</v>
      </c>
      <c r="N99" s="22">
        <f t="shared" si="1"/>
        <v>8.9298817267153332</v>
      </c>
      <c r="O99" s="22">
        <f t="shared" si="2"/>
        <v>29.171278620020644</v>
      </c>
    </row>
    <row r="100" spans="1:15" ht="16">
      <c r="A100" s="13" t="s">
        <v>41</v>
      </c>
      <c r="B100" s="13" t="s">
        <v>42</v>
      </c>
      <c r="C100" s="65" t="s">
        <v>75</v>
      </c>
      <c r="D100" s="13">
        <v>65</v>
      </c>
      <c r="E100" s="39" t="s">
        <v>28</v>
      </c>
      <c r="F100" s="13">
        <v>52</v>
      </c>
      <c r="G100" s="13">
        <v>149</v>
      </c>
      <c r="H100" s="13">
        <v>76.773399999999995</v>
      </c>
      <c r="I100" s="13">
        <v>73</v>
      </c>
      <c r="J100" s="13">
        <v>17.559100000000001</v>
      </c>
      <c r="K100" s="8">
        <v>62.023200000000003</v>
      </c>
      <c r="L100" s="8">
        <v>255</v>
      </c>
      <c r="M100" s="22">
        <f t="shared" si="0"/>
        <v>0.25909850303248888</v>
      </c>
      <c r="N100" s="22">
        <f t="shared" si="1"/>
        <v>8.9298817267153332</v>
      </c>
      <c r="O100" s="22">
        <f t="shared" si="2"/>
        <v>28.821754739429814</v>
      </c>
    </row>
    <row r="101" spans="1:15" ht="16">
      <c r="A101" s="13" t="s">
        <v>41</v>
      </c>
      <c r="B101" s="13" t="s">
        <v>42</v>
      </c>
      <c r="C101" s="65" t="s">
        <v>75</v>
      </c>
      <c r="D101" s="13">
        <v>65</v>
      </c>
      <c r="E101" s="39" t="s">
        <v>29</v>
      </c>
      <c r="F101" s="13">
        <v>52</v>
      </c>
      <c r="G101" s="13">
        <v>146</v>
      </c>
      <c r="H101" s="13">
        <v>75.803100000000001</v>
      </c>
      <c r="I101" s="13">
        <v>72</v>
      </c>
      <c r="J101" s="13">
        <v>17.2044</v>
      </c>
      <c r="K101" s="8">
        <v>62.023200000000003</v>
      </c>
      <c r="L101" s="8">
        <v>255</v>
      </c>
      <c r="M101" s="22">
        <f t="shared" si="0"/>
        <v>0.25909850303248888</v>
      </c>
      <c r="N101" s="22">
        <f t="shared" si="1"/>
        <v>8.9298817267153332</v>
      </c>
      <c r="O101" s="22">
        <f t="shared" si="2"/>
        <v>28.570351461937392</v>
      </c>
    </row>
    <row r="102" spans="1:15" ht="16">
      <c r="A102" s="13" t="s">
        <v>41</v>
      </c>
      <c r="B102" s="13" t="s">
        <v>42</v>
      </c>
      <c r="C102" s="65" t="s">
        <v>75</v>
      </c>
      <c r="D102" s="13">
        <v>65</v>
      </c>
      <c r="E102" s="39" t="s">
        <v>30</v>
      </c>
      <c r="F102" s="13">
        <v>52</v>
      </c>
      <c r="G102" s="13">
        <v>153</v>
      </c>
      <c r="H102" s="13">
        <v>75.866799999999998</v>
      </c>
      <c r="I102" s="13">
        <v>72</v>
      </c>
      <c r="J102" s="13">
        <v>17.278400000000001</v>
      </c>
      <c r="K102" s="8">
        <v>62.023200000000003</v>
      </c>
      <c r="L102" s="8">
        <v>255</v>
      </c>
      <c r="M102" s="22">
        <f t="shared" si="0"/>
        <v>0.25909850303248888</v>
      </c>
      <c r="N102" s="22">
        <f t="shared" si="1"/>
        <v>8.9298817267153332</v>
      </c>
      <c r="O102" s="22">
        <f t="shared" si="2"/>
        <v>28.58685603658056</v>
      </c>
    </row>
    <row r="103" spans="1:15" ht="16">
      <c r="A103" s="40" t="s">
        <v>41</v>
      </c>
      <c r="B103" s="40" t="s">
        <v>42</v>
      </c>
      <c r="C103" s="71" t="s">
        <v>75</v>
      </c>
      <c r="D103" s="40">
        <v>65</v>
      </c>
      <c r="E103" s="41" t="s">
        <v>31</v>
      </c>
      <c r="F103" s="40">
        <v>63</v>
      </c>
      <c r="G103" s="40">
        <v>181</v>
      </c>
      <c r="H103" s="40">
        <v>98.475300000000004</v>
      </c>
      <c r="I103" s="40">
        <v>93</v>
      </c>
      <c r="J103" s="40">
        <v>25.64</v>
      </c>
      <c r="K103" s="8">
        <v>62.023200000000003</v>
      </c>
      <c r="L103" s="8">
        <v>255</v>
      </c>
      <c r="M103" s="22">
        <f t="shared" si="0"/>
        <v>0.25909850303248888</v>
      </c>
      <c r="N103" s="22">
        <f t="shared" si="1"/>
        <v>8.9298817267153332</v>
      </c>
      <c r="O103" s="22">
        <f t="shared" si="2"/>
        <v>34.44468454239059</v>
      </c>
    </row>
    <row r="104" spans="1:15" ht="16">
      <c r="A104" s="40" t="s">
        <v>41</v>
      </c>
      <c r="B104" s="40" t="s">
        <v>42</v>
      </c>
      <c r="C104" s="71" t="s">
        <v>75</v>
      </c>
      <c r="D104" s="40">
        <v>65</v>
      </c>
      <c r="E104" s="41" t="s">
        <v>32</v>
      </c>
      <c r="F104" s="40">
        <v>63</v>
      </c>
      <c r="G104" s="40">
        <v>201</v>
      </c>
      <c r="H104" s="40">
        <v>99.831900000000005</v>
      </c>
      <c r="I104" s="40">
        <v>94</v>
      </c>
      <c r="J104" s="40">
        <v>27.086500000000001</v>
      </c>
      <c r="K104" s="8">
        <v>62.023200000000003</v>
      </c>
      <c r="L104" s="8">
        <v>255</v>
      </c>
      <c r="M104" s="22">
        <f t="shared" si="0"/>
        <v>0.25909850303248888</v>
      </c>
      <c r="N104" s="22">
        <f t="shared" si="1"/>
        <v>8.9298817267153332</v>
      </c>
      <c r="O104" s="22">
        <f t="shared" si="2"/>
        <v>34.79617757160446</v>
      </c>
    </row>
    <row r="105" spans="1:15" ht="16">
      <c r="A105" s="40" t="s">
        <v>41</v>
      </c>
      <c r="B105" s="40" t="s">
        <v>42</v>
      </c>
      <c r="C105" s="71" t="s">
        <v>75</v>
      </c>
      <c r="D105" s="40">
        <v>65</v>
      </c>
      <c r="E105" s="41" t="s">
        <v>33</v>
      </c>
      <c r="F105" s="40">
        <v>63</v>
      </c>
      <c r="G105" s="40">
        <v>196</v>
      </c>
      <c r="H105" s="40">
        <v>101.529</v>
      </c>
      <c r="I105" s="40">
        <v>95</v>
      </c>
      <c r="J105" s="40">
        <v>28.471800000000002</v>
      </c>
      <c r="K105" s="8">
        <v>62.023200000000003</v>
      </c>
      <c r="L105" s="8">
        <v>255</v>
      </c>
      <c r="M105" s="22">
        <f t="shared" si="0"/>
        <v>0.25909850303248888</v>
      </c>
      <c r="N105" s="22">
        <f t="shared" si="1"/>
        <v>8.9298817267153332</v>
      </c>
      <c r="O105" s="22">
        <f t="shared" si="2"/>
        <v>35.235893641100894</v>
      </c>
    </row>
    <row r="106" spans="1:15" ht="16">
      <c r="A106" s="40" t="s">
        <v>41</v>
      </c>
      <c r="B106" s="40" t="s">
        <v>42</v>
      </c>
      <c r="C106" s="71" t="s">
        <v>75</v>
      </c>
      <c r="D106" s="40">
        <v>65</v>
      </c>
      <c r="E106" s="41" t="s">
        <v>34</v>
      </c>
      <c r="F106" s="40">
        <v>63</v>
      </c>
      <c r="G106" s="40">
        <v>198</v>
      </c>
      <c r="H106" s="40">
        <v>101.834</v>
      </c>
      <c r="I106" s="40">
        <v>96</v>
      </c>
      <c r="J106" s="40">
        <v>28.291</v>
      </c>
      <c r="K106" s="8">
        <v>62.023200000000003</v>
      </c>
      <c r="L106" s="8">
        <v>255</v>
      </c>
      <c r="M106" s="22">
        <f t="shared" si="0"/>
        <v>0.25909850303248888</v>
      </c>
      <c r="N106" s="22">
        <f t="shared" si="1"/>
        <v>8.9298817267153332</v>
      </c>
      <c r="O106" s="22">
        <f t="shared" si="2"/>
        <v>35.314918684525807</v>
      </c>
    </row>
    <row r="107" spans="1:15" ht="16">
      <c r="A107" s="40" t="s">
        <v>41</v>
      </c>
      <c r="B107" s="40" t="s">
        <v>42</v>
      </c>
      <c r="C107" s="71" t="s">
        <v>75</v>
      </c>
      <c r="D107" s="40">
        <v>65</v>
      </c>
      <c r="E107" s="41" t="s">
        <v>35</v>
      </c>
      <c r="F107" s="40">
        <v>63</v>
      </c>
      <c r="G107" s="40">
        <v>206</v>
      </c>
      <c r="H107" s="40">
        <v>103.55200000000001</v>
      </c>
      <c r="I107" s="40">
        <v>98</v>
      </c>
      <c r="J107" s="40">
        <v>29.528700000000001</v>
      </c>
      <c r="K107" s="8">
        <v>62.023200000000003</v>
      </c>
      <c r="L107" s="8">
        <v>255</v>
      </c>
      <c r="M107" s="22">
        <f t="shared" si="0"/>
        <v>0.25909850303248888</v>
      </c>
      <c r="N107" s="22">
        <f t="shared" si="1"/>
        <v>8.9298817267153332</v>
      </c>
      <c r="O107" s="22">
        <f t="shared" si="2"/>
        <v>35.760049912735624</v>
      </c>
    </row>
    <row r="108" spans="1:15" ht="16">
      <c r="A108" s="6" t="s">
        <v>43</v>
      </c>
      <c r="B108" s="6" t="s">
        <v>38</v>
      </c>
      <c r="C108" s="64" t="s">
        <v>75</v>
      </c>
      <c r="D108" s="42">
        <v>70</v>
      </c>
      <c r="E108" s="6" t="s">
        <v>21</v>
      </c>
      <c r="F108" s="6">
        <v>50</v>
      </c>
      <c r="G108" s="6">
        <v>178</v>
      </c>
      <c r="H108" s="6">
        <v>90.418700000000001</v>
      </c>
      <c r="I108" s="6">
        <v>87</v>
      </c>
      <c r="J108" s="6">
        <v>26.631399999999999</v>
      </c>
      <c r="K108" s="8">
        <v>36.551400000000001</v>
      </c>
      <c r="L108" s="8">
        <v>108.726</v>
      </c>
      <c r="M108" s="22">
        <f t="shared" si="0"/>
        <v>0.6927644905548489</v>
      </c>
      <c r="N108" s="22">
        <f t="shared" si="1"/>
        <v>-0.32151200006650527</v>
      </c>
      <c r="O108" s="22">
        <f t="shared" si="2"/>
        <v>62.31735264206521</v>
      </c>
    </row>
    <row r="109" spans="1:15" ht="16">
      <c r="A109" s="6" t="s">
        <v>43</v>
      </c>
      <c r="B109" s="6" t="s">
        <v>38</v>
      </c>
      <c r="C109" s="64" t="s">
        <v>75</v>
      </c>
      <c r="D109" s="42">
        <v>70</v>
      </c>
      <c r="E109" s="6" t="s">
        <v>22</v>
      </c>
      <c r="F109" s="6">
        <v>50</v>
      </c>
      <c r="G109" s="6">
        <v>181</v>
      </c>
      <c r="H109" s="6">
        <v>90.174199999999999</v>
      </c>
      <c r="I109" s="6">
        <v>87</v>
      </c>
      <c r="J109" s="6">
        <v>27.177600000000002</v>
      </c>
      <c r="K109" s="8">
        <v>36.551400000000001</v>
      </c>
      <c r="L109" s="8">
        <v>108.726</v>
      </c>
      <c r="M109" s="22">
        <f t="shared" si="0"/>
        <v>0.6927644905548489</v>
      </c>
      <c r="N109" s="22">
        <f t="shared" si="1"/>
        <v>-0.32151200006650527</v>
      </c>
      <c r="O109" s="22">
        <f t="shared" si="2"/>
        <v>62.147971724124552</v>
      </c>
    </row>
    <row r="110" spans="1:15" ht="16">
      <c r="A110" s="6" t="s">
        <v>43</v>
      </c>
      <c r="B110" s="6" t="s">
        <v>38</v>
      </c>
      <c r="C110" s="64" t="s">
        <v>75</v>
      </c>
      <c r="D110" s="42">
        <v>70</v>
      </c>
      <c r="E110" s="6" t="s">
        <v>23</v>
      </c>
      <c r="F110" s="6">
        <v>50</v>
      </c>
      <c r="G110" s="6">
        <v>186</v>
      </c>
      <c r="H110" s="6">
        <v>88.134</v>
      </c>
      <c r="I110" s="6">
        <v>85</v>
      </c>
      <c r="J110" s="6">
        <v>25.9863</v>
      </c>
      <c r="K110" s="8">
        <v>36.551400000000001</v>
      </c>
      <c r="L110" s="8">
        <v>108.726</v>
      </c>
      <c r="M110" s="22">
        <f t="shared" si="0"/>
        <v>0.6927644905548489</v>
      </c>
      <c r="N110" s="22">
        <f t="shared" si="1"/>
        <v>-0.32151200006650527</v>
      </c>
      <c r="O110" s="22">
        <f t="shared" si="2"/>
        <v>60.734593610494549</v>
      </c>
    </row>
    <row r="111" spans="1:15" ht="16">
      <c r="A111" s="6" t="s">
        <v>43</v>
      </c>
      <c r="B111" s="6" t="s">
        <v>38</v>
      </c>
      <c r="C111" s="64" t="s">
        <v>75</v>
      </c>
      <c r="D111" s="42">
        <v>70</v>
      </c>
      <c r="E111" s="6" t="s">
        <v>24</v>
      </c>
      <c r="F111" s="6">
        <v>50</v>
      </c>
      <c r="G111" s="6">
        <v>187</v>
      </c>
      <c r="H111" s="6">
        <v>87.348399999999998</v>
      </c>
      <c r="I111" s="6">
        <v>83</v>
      </c>
      <c r="J111" s="6">
        <v>25.871600000000001</v>
      </c>
      <c r="K111" s="8">
        <v>36.551400000000001</v>
      </c>
      <c r="L111" s="8">
        <v>108.726</v>
      </c>
      <c r="M111" s="22">
        <f t="shared" si="0"/>
        <v>0.6927644905548489</v>
      </c>
      <c r="N111" s="22">
        <f t="shared" si="1"/>
        <v>-0.32151200006650527</v>
      </c>
      <c r="O111" s="22">
        <f t="shared" si="2"/>
        <v>60.19035782671466</v>
      </c>
    </row>
    <row r="112" spans="1:15" ht="16">
      <c r="A112" s="6" t="s">
        <v>43</v>
      </c>
      <c r="B112" s="6" t="s">
        <v>38</v>
      </c>
      <c r="C112" s="64" t="s">
        <v>75</v>
      </c>
      <c r="D112" s="42">
        <v>70</v>
      </c>
      <c r="E112" s="6" t="s">
        <v>25</v>
      </c>
      <c r="F112" s="6">
        <v>50</v>
      </c>
      <c r="G112" s="6">
        <v>163</v>
      </c>
      <c r="H112" s="6">
        <v>86.554400000000001</v>
      </c>
      <c r="I112" s="6">
        <v>83</v>
      </c>
      <c r="J112" s="6">
        <v>24.782599999999999</v>
      </c>
      <c r="K112" s="8">
        <v>36.551400000000001</v>
      </c>
      <c r="L112" s="8">
        <v>108.726</v>
      </c>
      <c r="M112" s="22">
        <f t="shared" si="0"/>
        <v>0.6927644905548489</v>
      </c>
      <c r="N112" s="22">
        <f t="shared" si="1"/>
        <v>-0.32151200006650527</v>
      </c>
      <c r="O112" s="22">
        <f t="shared" si="2"/>
        <v>59.640302821214107</v>
      </c>
    </row>
    <row r="113" spans="1:15" ht="16">
      <c r="A113" s="13" t="s">
        <v>43</v>
      </c>
      <c r="B113" s="13" t="s">
        <v>38</v>
      </c>
      <c r="C113" s="65" t="s">
        <v>75</v>
      </c>
      <c r="D113" s="43">
        <v>70</v>
      </c>
      <c r="E113" s="13" t="s">
        <v>26</v>
      </c>
      <c r="F113" s="13">
        <v>39</v>
      </c>
      <c r="G113" s="13">
        <v>137</v>
      </c>
      <c r="H113" s="13">
        <v>65.788700000000006</v>
      </c>
      <c r="I113" s="13">
        <v>62</v>
      </c>
      <c r="J113" s="13">
        <v>19.715299999999999</v>
      </c>
      <c r="K113" s="8">
        <v>36.551400000000001</v>
      </c>
      <c r="L113" s="8">
        <v>108.726</v>
      </c>
      <c r="M113" s="22">
        <f t="shared" si="0"/>
        <v>0.6927644905548489</v>
      </c>
      <c r="N113" s="22">
        <f t="shared" si="1"/>
        <v>-0.32151200006650527</v>
      </c>
      <c r="O113" s="22">
        <f t="shared" si="2"/>
        <v>45.254563239699287</v>
      </c>
    </row>
    <row r="114" spans="1:15" ht="16">
      <c r="A114" s="13" t="s">
        <v>43</v>
      </c>
      <c r="B114" s="13" t="s">
        <v>38</v>
      </c>
      <c r="C114" s="65" t="s">
        <v>75</v>
      </c>
      <c r="D114" s="43">
        <v>70</v>
      </c>
      <c r="E114" s="13" t="s">
        <v>27</v>
      </c>
      <c r="F114" s="13">
        <v>39</v>
      </c>
      <c r="G114" s="13">
        <v>138</v>
      </c>
      <c r="H114" s="13">
        <v>65.922399999999996</v>
      </c>
      <c r="I114" s="13">
        <v>62</v>
      </c>
      <c r="J114" s="13">
        <v>19.602699999999999</v>
      </c>
      <c r="K114" s="8">
        <v>36.551400000000001</v>
      </c>
      <c r="L114" s="8">
        <v>108.726</v>
      </c>
      <c r="M114" s="22">
        <f t="shared" si="0"/>
        <v>0.6927644905548489</v>
      </c>
      <c r="N114" s="22">
        <f t="shared" si="1"/>
        <v>-0.32151200006650527</v>
      </c>
      <c r="O114" s="22">
        <f t="shared" si="2"/>
        <v>45.347185852086461</v>
      </c>
    </row>
    <row r="115" spans="1:15" ht="16">
      <c r="A115" s="13" t="s">
        <v>43</v>
      </c>
      <c r="B115" s="13" t="s">
        <v>38</v>
      </c>
      <c r="C115" s="65" t="s">
        <v>75</v>
      </c>
      <c r="D115" s="43">
        <v>70</v>
      </c>
      <c r="E115" s="13" t="s">
        <v>28</v>
      </c>
      <c r="F115" s="13">
        <v>39</v>
      </c>
      <c r="G115" s="13">
        <v>141</v>
      </c>
      <c r="H115" s="13">
        <v>66.403199999999998</v>
      </c>
      <c r="I115" s="13">
        <v>63</v>
      </c>
      <c r="J115" s="13">
        <v>19.660900000000002</v>
      </c>
      <c r="K115" s="8">
        <v>36.551400000000001</v>
      </c>
      <c r="L115" s="8">
        <v>108.726</v>
      </c>
      <c r="M115" s="22">
        <f t="shared" si="0"/>
        <v>0.6927644905548489</v>
      </c>
      <c r="N115" s="22">
        <f t="shared" si="1"/>
        <v>-0.32151200006650527</v>
      </c>
      <c r="O115" s="22">
        <f t="shared" si="2"/>
        <v>45.680267019145234</v>
      </c>
    </row>
    <row r="116" spans="1:15" ht="16">
      <c r="A116" s="13" t="s">
        <v>43</v>
      </c>
      <c r="B116" s="13" t="s">
        <v>38</v>
      </c>
      <c r="C116" s="65" t="s">
        <v>75</v>
      </c>
      <c r="D116" s="43">
        <v>70</v>
      </c>
      <c r="E116" s="13" t="s">
        <v>29</v>
      </c>
      <c r="F116" s="13">
        <v>39</v>
      </c>
      <c r="G116" s="13">
        <v>136</v>
      </c>
      <c r="H116" s="13">
        <v>65.635300000000001</v>
      </c>
      <c r="I116" s="13">
        <v>62</v>
      </c>
      <c r="J116" s="13">
        <v>19.187200000000001</v>
      </c>
      <c r="K116" s="8">
        <v>36.551400000000001</v>
      </c>
      <c r="L116" s="8">
        <v>108.726</v>
      </c>
      <c r="M116" s="22">
        <f t="shared" si="0"/>
        <v>0.6927644905548489</v>
      </c>
      <c r="N116" s="22">
        <f t="shared" si="1"/>
        <v>-0.32151200006650527</v>
      </c>
      <c r="O116" s="22">
        <f t="shared" si="2"/>
        <v>45.14829316684817</v>
      </c>
    </row>
    <row r="117" spans="1:15" ht="16">
      <c r="A117" s="13" t="s">
        <v>43</v>
      </c>
      <c r="B117" s="13" t="s">
        <v>38</v>
      </c>
      <c r="C117" s="65" t="s">
        <v>75</v>
      </c>
      <c r="D117" s="43">
        <v>70</v>
      </c>
      <c r="E117" s="13" t="s">
        <v>30</v>
      </c>
      <c r="F117" s="13">
        <v>39</v>
      </c>
      <c r="G117" s="13">
        <v>128</v>
      </c>
      <c r="H117" s="13">
        <v>64.039599999999993</v>
      </c>
      <c r="I117" s="13">
        <v>61</v>
      </c>
      <c r="J117" s="13">
        <v>18.039000000000001</v>
      </c>
      <c r="K117" s="8">
        <v>36.551400000000001</v>
      </c>
      <c r="L117" s="8">
        <v>108.726</v>
      </c>
      <c r="M117" s="22">
        <f t="shared" si="0"/>
        <v>0.6927644905548489</v>
      </c>
      <c r="N117" s="22">
        <f t="shared" si="1"/>
        <v>-0.32151200006650527</v>
      </c>
      <c r="O117" s="22">
        <f t="shared" si="2"/>
        <v>44.04284886926979</v>
      </c>
    </row>
    <row r="118" spans="1:15" ht="16">
      <c r="A118" s="36" t="s">
        <v>43</v>
      </c>
      <c r="B118" s="36" t="s">
        <v>38</v>
      </c>
      <c r="C118" s="70" t="s">
        <v>75</v>
      </c>
      <c r="D118" s="44">
        <v>70</v>
      </c>
      <c r="E118" s="36" t="s">
        <v>31</v>
      </c>
      <c r="F118" s="36">
        <v>44</v>
      </c>
      <c r="G118" s="36">
        <v>171</v>
      </c>
      <c r="H118" s="36">
        <v>83.612399999999994</v>
      </c>
      <c r="I118" s="36">
        <v>28.153099999999998</v>
      </c>
      <c r="J118" s="36">
        <v>79</v>
      </c>
      <c r="K118" s="8">
        <v>36.551400000000001</v>
      </c>
      <c r="L118" s="8">
        <v>108.726</v>
      </c>
      <c r="M118" s="22">
        <f t="shared" si="0"/>
        <v>0.6927644905548489</v>
      </c>
      <c r="N118" s="22">
        <f t="shared" si="1"/>
        <v>-0.32151200006650527</v>
      </c>
      <c r="O118" s="22">
        <f t="shared" si="2"/>
        <v>57.602189690001737</v>
      </c>
    </row>
    <row r="119" spans="1:15" ht="16">
      <c r="A119" s="36" t="s">
        <v>43</v>
      </c>
      <c r="B119" s="36" t="s">
        <v>38</v>
      </c>
      <c r="C119" s="70" t="s">
        <v>75</v>
      </c>
      <c r="D119" s="44">
        <v>70</v>
      </c>
      <c r="E119" s="36" t="s">
        <v>32</v>
      </c>
      <c r="F119" s="36">
        <v>44</v>
      </c>
      <c r="G119" s="36">
        <v>168</v>
      </c>
      <c r="H119" s="36">
        <v>83.310500000000005</v>
      </c>
      <c r="I119" s="36">
        <v>28.104399999999998</v>
      </c>
      <c r="J119" s="36">
        <v>78</v>
      </c>
      <c r="K119" s="8">
        <v>36.551400000000001</v>
      </c>
      <c r="L119" s="8">
        <v>108.726</v>
      </c>
      <c r="M119" s="22">
        <f t="shared" si="0"/>
        <v>0.6927644905548489</v>
      </c>
      <c r="N119" s="22">
        <f t="shared" si="1"/>
        <v>-0.32151200006650527</v>
      </c>
      <c r="O119" s="22">
        <f t="shared" si="2"/>
        <v>57.393044090303235</v>
      </c>
    </row>
    <row r="120" spans="1:15" ht="16">
      <c r="A120" s="36" t="s">
        <v>43</v>
      </c>
      <c r="B120" s="36" t="s">
        <v>38</v>
      </c>
      <c r="C120" s="70" t="s">
        <v>75</v>
      </c>
      <c r="D120" s="44">
        <v>70</v>
      </c>
      <c r="E120" s="36" t="s">
        <v>33</v>
      </c>
      <c r="F120" s="36">
        <v>44</v>
      </c>
      <c r="G120" s="36">
        <v>167</v>
      </c>
      <c r="H120" s="36">
        <v>85.237200000000001</v>
      </c>
      <c r="I120" s="36">
        <v>28.851299999999998</v>
      </c>
      <c r="J120" s="36">
        <v>81</v>
      </c>
      <c r="K120" s="8">
        <v>36.551400000000001</v>
      </c>
      <c r="L120" s="8">
        <v>108.726</v>
      </c>
      <c r="M120" s="22">
        <f t="shared" si="0"/>
        <v>0.6927644905548489</v>
      </c>
      <c r="N120" s="22">
        <f t="shared" si="1"/>
        <v>-0.32151200006650527</v>
      </c>
      <c r="O120" s="22">
        <f t="shared" si="2"/>
        <v>58.727793434255261</v>
      </c>
    </row>
    <row r="121" spans="1:15" ht="16">
      <c r="A121" s="36" t="s">
        <v>43</v>
      </c>
      <c r="B121" s="36" t="s">
        <v>38</v>
      </c>
      <c r="C121" s="70" t="s">
        <v>75</v>
      </c>
      <c r="D121" s="44">
        <v>70</v>
      </c>
      <c r="E121" s="36" t="s">
        <v>34</v>
      </c>
      <c r="F121" s="36">
        <v>44</v>
      </c>
      <c r="G121" s="36">
        <v>167</v>
      </c>
      <c r="H121" s="36">
        <v>87.170299999999997</v>
      </c>
      <c r="I121" s="36">
        <v>30.206499999999998</v>
      </c>
      <c r="J121" s="36">
        <v>82</v>
      </c>
      <c r="K121" s="8">
        <v>36.551400000000001</v>
      </c>
      <c r="L121" s="8">
        <v>108.726</v>
      </c>
      <c r="M121" s="22">
        <f t="shared" si="0"/>
        <v>0.6927644905548489</v>
      </c>
      <c r="N121" s="22">
        <f t="shared" si="1"/>
        <v>-0.32151200006650527</v>
      </c>
      <c r="O121" s="22">
        <f t="shared" si="2"/>
        <v>60.066976470946841</v>
      </c>
    </row>
    <row r="122" spans="1:15" ht="16">
      <c r="A122" s="36" t="s">
        <v>43</v>
      </c>
      <c r="B122" s="36" t="s">
        <v>38</v>
      </c>
      <c r="C122" s="70" t="s">
        <v>75</v>
      </c>
      <c r="D122" s="44">
        <v>70</v>
      </c>
      <c r="E122" s="36" t="s">
        <v>35</v>
      </c>
      <c r="F122" s="36">
        <v>44</v>
      </c>
      <c r="G122" s="36">
        <v>176</v>
      </c>
      <c r="H122" s="36">
        <v>90.278800000000004</v>
      </c>
      <c r="I122" s="36">
        <v>31.816400000000002</v>
      </c>
      <c r="J122" s="36">
        <v>86</v>
      </c>
      <c r="K122" s="8">
        <v>36.551400000000001</v>
      </c>
      <c r="L122" s="8">
        <v>108.726</v>
      </c>
      <c r="M122" s="22">
        <f t="shared" si="0"/>
        <v>0.6927644905548489</v>
      </c>
      <c r="N122" s="22">
        <f t="shared" si="1"/>
        <v>-0.32151200006650527</v>
      </c>
      <c r="O122" s="22">
        <f t="shared" si="2"/>
        <v>62.220434889836589</v>
      </c>
    </row>
    <row r="123" spans="1:15" ht="16">
      <c r="A123" s="6" t="s">
        <v>44</v>
      </c>
      <c r="B123" s="6" t="s">
        <v>42</v>
      </c>
      <c r="C123" s="64" t="s">
        <v>75</v>
      </c>
      <c r="D123" s="6">
        <v>68</v>
      </c>
      <c r="E123" s="6" t="s">
        <v>21</v>
      </c>
      <c r="F123" s="6">
        <v>46</v>
      </c>
      <c r="G123" s="6">
        <v>195</v>
      </c>
      <c r="H123" s="6">
        <v>95.230999999999995</v>
      </c>
      <c r="I123" s="6">
        <v>91</v>
      </c>
      <c r="J123" s="6">
        <v>26.876999999999999</v>
      </c>
      <c r="K123" s="8">
        <v>49.669499999999999</v>
      </c>
      <c r="L123" s="8">
        <v>125.735</v>
      </c>
      <c r="M123" s="22">
        <f t="shared" si="0"/>
        <v>0.65732822370194111</v>
      </c>
      <c r="N123" s="22">
        <f t="shared" si="1"/>
        <v>-7.6491642071635653</v>
      </c>
      <c r="O123" s="22">
        <f t="shared" si="2"/>
        <v>54.948859864195981</v>
      </c>
    </row>
    <row r="124" spans="1:15" ht="16">
      <c r="A124" s="6" t="s">
        <v>44</v>
      </c>
      <c r="B124" s="6" t="s">
        <v>42</v>
      </c>
      <c r="C124" s="64" t="s">
        <v>75</v>
      </c>
      <c r="D124" s="6">
        <v>68</v>
      </c>
      <c r="E124" s="6" t="s">
        <v>22</v>
      </c>
      <c r="F124" s="6">
        <v>56</v>
      </c>
      <c r="G124" s="6">
        <v>188</v>
      </c>
      <c r="H124" s="6">
        <v>91.822500000000005</v>
      </c>
      <c r="I124" s="6">
        <v>87</v>
      </c>
      <c r="J124" s="6">
        <v>25.4877</v>
      </c>
      <c r="K124" s="8">
        <v>49.669499999999999</v>
      </c>
      <c r="L124" s="8">
        <v>125.735</v>
      </c>
      <c r="M124" s="22">
        <f t="shared" si="0"/>
        <v>0.65732822370194111</v>
      </c>
      <c r="N124" s="22">
        <f t="shared" si="1"/>
        <v>-7.6491642071635653</v>
      </c>
      <c r="O124" s="22">
        <f t="shared" si="2"/>
        <v>52.708356613707927</v>
      </c>
    </row>
    <row r="125" spans="1:15" ht="16">
      <c r="A125" s="6" t="s">
        <v>44</v>
      </c>
      <c r="B125" s="6" t="s">
        <v>42</v>
      </c>
      <c r="C125" s="64" t="s">
        <v>75</v>
      </c>
      <c r="D125" s="6">
        <v>68</v>
      </c>
      <c r="E125" s="6" t="s">
        <v>23</v>
      </c>
      <c r="F125" s="6">
        <v>56</v>
      </c>
      <c r="G125" s="6">
        <v>167</v>
      </c>
      <c r="H125" s="6">
        <v>89.629900000000006</v>
      </c>
      <c r="I125" s="6">
        <v>85</v>
      </c>
      <c r="J125" s="6">
        <v>23.501300000000001</v>
      </c>
      <c r="K125" s="8">
        <v>49.669499999999999</v>
      </c>
      <c r="L125" s="8">
        <v>125.735</v>
      </c>
      <c r="M125" s="22">
        <f t="shared" si="0"/>
        <v>0.65732822370194111</v>
      </c>
      <c r="N125" s="22">
        <f t="shared" si="1"/>
        <v>-7.6491642071635653</v>
      </c>
      <c r="O125" s="22">
        <f t="shared" si="2"/>
        <v>51.267098750419052</v>
      </c>
    </row>
    <row r="126" spans="1:15" ht="16">
      <c r="A126" s="6" t="s">
        <v>44</v>
      </c>
      <c r="B126" s="6" t="s">
        <v>42</v>
      </c>
      <c r="C126" s="64" t="s">
        <v>75</v>
      </c>
      <c r="D126" s="6">
        <v>68</v>
      </c>
      <c r="E126" s="6" t="s">
        <v>24</v>
      </c>
      <c r="F126" s="6">
        <v>56</v>
      </c>
      <c r="G126" s="6">
        <v>156</v>
      </c>
      <c r="H126" s="6">
        <v>86.962299999999999</v>
      </c>
      <c r="I126" s="6">
        <v>83</v>
      </c>
      <c r="J126" s="6">
        <v>21.761800000000001</v>
      </c>
      <c r="K126" s="8">
        <v>49.669499999999999</v>
      </c>
      <c r="L126" s="8">
        <v>125.735</v>
      </c>
      <c r="M126" s="22">
        <f t="shared" si="0"/>
        <v>0.65732822370194111</v>
      </c>
      <c r="N126" s="22">
        <f t="shared" si="1"/>
        <v>-7.6491642071635653</v>
      </c>
      <c r="O126" s="22">
        <f t="shared" si="2"/>
        <v>49.513609980871749</v>
      </c>
    </row>
    <row r="127" spans="1:15" ht="16">
      <c r="A127" s="6" t="s">
        <v>44</v>
      </c>
      <c r="B127" s="6" t="s">
        <v>42</v>
      </c>
      <c r="C127" s="64" t="s">
        <v>75</v>
      </c>
      <c r="D127" s="6">
        <v>68</v>
      </c>
      <c r="E127" s="6" t="s">
        <v>25</v>
      </c>
      <c r="F127" s="6">
        <v>56</v>
      </c>
      <c r="G127" s="6">
        <v>154</v>
      </c>
      <c r="H127" s="6">
        <v>85.488699999999994</v>
      </c>
      <c r="I127" s="6">
        <v>81</v>
      </c>
      <c r="J127" s="6">
        <v>20.859300000000001</v>
      </c>
      <c r="K127" s="8">
        <v>49.669499999999999</v>
      </c>
      <c r="L127" s="8">
        <v>125.735</v>
      </c>
      <c r="M127" s="22">
        <f t="shared" si="0"/>
        <v>0.65732822370194111</v>
      </c>
      <c r="N127" s="22">
        <f t="shared" si="1"/>
        <v>-7.6491642071635653</v>
      </c>
      <c r="O127" s="22">
        <f t="shared" si="2"/>
        <v>48.544971110424562</v>
      </c>
    </row>
    <row r="128" spans="1:15" ht="16">
      <c r="A128" s="13" t="s">
        <v>44</v>
      </c>
      <c r="B128" s="13" t="s">
        <v>42</v>
      </c>
      <c r="C128" s="65" t="s">
        <v>75</v>
      </c>
      <c r="D128" s="13">
        <v>68</v>
      </c>
      <c r="E128" s="13" t="s">
        <v>26</v>
      </c>
      <c r="F128" s="13">
        <v>49</v>
      </c>
      <c r="G128" s="13">
        <v>124</v>
      </c>
      <c r="H128" s="13">
        <v>71.366900000000001</v>
      </c>
      <c r="I128" s="13">
        <v>68</v>
      </c>
      <c r="J128" s="13">
        <v>15.850899999999999</v>
      </c>
      <c r="K128" s="8">
        <v>49.669499999999999</v>
      </c>
      <c r="L128" s="8">
        <v>125.735</v>
      </c>
      <c r="M128" s="22">
        <f t="shared" si="0"/>
        <v>0.65732822370194111</v>
      </c>
      <c r="N128" s="22">
        <f t="shared" si="1"/>
        <v>-7.6491642071635653</v>
      </c>
      <c r="O128" s="22">
        <f t="shared" si="2"/>
        <v>39.262313400950497</v>
      </c>
    </row>
    <row r="129" spans="1:15" ht="16">
      <c r="A129" s="13" t="s">
        <v>44</v>
      </c>
      <c r="B129" s="13" t="s">
        <v>42</v>
      </c>
      <c r="C129" s="65" t="s">
        <v>75</v>
      </c>
      <c r="D129" s="13">
        <v>68</v>
      </c>
      <c r="E129" s="13" t="s">
        <v>27</v>
      </c>
      <c r="F129" s="13">
        <v>49</v>
      </c>
      <c r="G129" s="13">
        <v>131</v>
      </c>
      <c r="H129" s="13">
        <v>71.910300000000007</v>
      </c>
      <c r="I129" s="13">
        <v>69</v>
      </c>
      <c r="J129" s="13">
        <v>16.094899999999999</v>
      </c>
      <c r="K129" s="8">
        <v>49.669499999999999</v>
      </c>
      <c r="L129" s="8">
        <v>125.735</v>
      </c>
      <c r="M129" s="22">
        <f t="shared" si="0"/>
        <v>0.65732822370194111</v>
      </c>
      <c r="N129" s="22">
        <f t="shared" si="1"/>
        <v>-7.6491642071635653</v>
      </c>
      <c r="O129" s="22">
        <f t="shared" si="2"/>
        <v>39.619505557710134</v>
      </c>
    </row>
    <row r="130" spans="1:15" ht="16">
      <c r="A130" s="13" t="s">
        <v>44</v>
      </c>
      <c r="B130" s="13" t="s">
        <v>42</v>
      </c>
      <c r="C130" s="65" t="s">
        <v>75</v>
      </c>
      <c r="D130" s="13">
        <v>68</v>
      </c>
      <c r="E130" s="13" t="s">
        <v>28</v>
      </c>
      <c r="F130" s="13">
        <v>42</v>
      </c>
      <c r="G130" s="13">
        <v>102</v>
      </c>
      <c r="H130" s="13">
        <v>69.678600000000003</v>
      </c>
      <c r="I130" s="13">
        <v>67</v>
      </c>
      <c r="J130" s="13">
        <v>13.9826</v>
      </c>
      <c r="K130" s="8">
        <v>49.669499999999999</v>
      </c>
      <c r="L130" s="8">
        <v>125.735</v>
      </c>
      <c r="M130" s="22">
        <f t="shared" si="0"/>
        <v>0.65732822370194111</v>
      </c>
      <c r="N130" s="22">
        <f t="shared" si="1"/>
        <v>-7.6491642071635653</v>
      </c>
      <c r="O130" s="22">
        <f t="shared" si="2"/>
        <v>38.152546160874508</v>
      </c>
    </row>
    <row r="131" spans="1:15" ht="16">
      <c r="A131" s="13" t="s">
        <v>44</v>
      </c>
      <c r="B131" s="13" t="s">
        <v>42</v>
      </c>
      <c r="C131" s="65" t="s">
        <v>75</v>
      </c>
      <c r="D131" s="13">
        <v>68</v>
      </c>
      <c r="E131" s="13" t="s">
        <v>29</v>
      </c>
      <c r="F131" s="13">
        <v>46</v>
      </c>
      <c r="G131" s="13">
        <v>126</v>
      </c>
      <c r="H131" s="13">
        <v>70.619299999999996</v>
      </c>
      <c r="I131" s="13">
        <v>68</v>
      </c>
      <c r="J131" s="13">
        <v>15.4351</v>
      </c>
      <c r="K131" s="8">
        <v>49.669499999999999</v>
      </c>
      <c r="L131" s="8">
        <v>125.735</v>
      </c>
      <c r="M131" s="22">
        <f t="shared" si="0"/>
        <v>0.65732822370194111</v>
      </c>
      <c r="N131" s="22">
        <f t="shared" si="1"/>
        <v>-7.6491642071635653</v>
      </c>
      <c r="O131" s="22">
        <f t="shared" si="2"/>
        <v>38.770894820910918</v>
      </c>
    </row>
    <row r="132" spans="1:15" ht="16">
      <c r="A132" s="13" t="s">
        <v>44</v>
      </c>
      <c r="B132" s="13" t="s">
        <v>42</v>
      </c>
      <c r="C132" s="65" t="s">
        <v>75</v>
      </c>
      <c r="D132" s="13">
        <v>68</v>
      </c>
      <c r="E132" s="13" t="s">
        <v>30</v>
      </c>
      <c r="F132" s="13">
        <v>49</v>
      </c>
      <c r="G132" s="13">
        <v>115</v>
      </c>
      <c r="H132" s="13">
        <v>69.469300000000004</v>
      </c>
      <c r="I132" s="13">
        <v>67</v>
      </c>
      <c r="J132" s="13">
        <v>13.8703</v>
      </c>
      <c r="K132" s="8">
        <v>49.669499999999999</v>
      </c>
      <c r="L132" s="8">
        <v>125.735</v>
      </c>
      <c r="M132" s="22">
        <f t="shared" si="0"/>
        <v>0.65732822370194111</v>
      </c>
      <c r="N132" s="22">
        <f t="shared" si="1"/>
        <v>-7.6491642071635653</v>
      </c>
      <c r="O132" s="22">
        <f t="shared" si="2"/>
        <v>38.014967363653696</v>
      </c>
    </row>
    <row r="133" spans="1:15" ht="16">
      <c r="A133" s="16" t="s">
        <v>44</v>
      </c>
      <c r="B133" s="16" t="s">
        <v>42</v>
      </c>
      <c r="C133" s="66" t="s">
        <v>75</v>
      </c>
      <c r="D133" s="16">
        <v>68</v>
      </c>
      <c r="E133" s="16" t="s">
        <v>31</v>
      </c>
      <c r="F133" s="16">
        <v>46</v>
      </c>
      <c r="G133" s="16">
        <v>171</v>
      </c>
      <c r="H133" s="16">
        <v>82.961699999999993</v>
      </c>
      <c r="I133" s="16">
        <v>77</v>
      </c>
      <c r="J133" s="16">
        <v>27.611499999999999</v>
      </c>
      <c r="K133" s="8">
        <v>49.669499999999999</v>
      </c>
      <c r="L133" s="8">
        <v>125.735</v>
      </c>
      <c r="M133" s="22">
        <f t="shared" si="0"/>
        <v>0.65732822370194111</v>
      </c>
      <c r="N133" s="22">
        <f t="shared" si="1"/>
        <v>-7.6491642071635653</v>
      </c>
      <c r="O133" s="22">
        <f t="shared" si="2"/>
        <v>46.883902689129755</v>
      </c>
    </row>
    <row r="134" spans="1:15" ht="16">
      <c r="A134" s="16" t="s">
        <v>44</v>
      </c>
      <c r="B134" s="16" t="s">
        <v>42</v>
      </c>
      <c r="C134" s="66" t="s">
        <v>75</v>
      </c>
      <c r="D134" s="16">
        <v>68</v>
      </c>
      <c r="E134" s="16" t="s">
        <v>32</v>
      </c>
      <c r="F134" s="16">
        <v>43</v>
      </c>
      <c r="G134" s="16">
        <v>169</v>
      </c>
      <c r="H134" s="16">
        <v>83.598299999999995</v>
      </c>
      <c r="I134" s="16">
        <v>78</v>
      </c>
      <c r="J134" s="16">
        <v>27.433700000000002</v>
      </c>
      <c r="K134" s="8">
        <v>49.669499999999999</v>
      </c>
      <c r="L134" s="8">
        <v>125.735</v>
      </c>
      <c r="M134" s="22">
        <f t="shared" si="0"/>
        <v>0.65732822370194111</v>
      </c>
      <c r="N134" s="22">
        <f t="shared" si="1"/>
        <v>-7.6491642071635653</v>
      </c>
      <c r="O134" s="22">
        <f t="shared" si="2"/>
        <v>47.302357836338416</v>
      </c>
    </row>
    <row r="135" spans="1:15" ht="16">
      <c r="A135" s="16" t="s">
        <v>44</v>
      </c>
      <c r="B135" s="16" t="s">
        <v>42</v>
      </c>
      <c r="C135" s="66" t="s">
        <v>75</v>
      </c>
      <c r="D135" s="16">
        <v>68</v>
      </c>
      <c r="E135" s="16" t="s">
        <v>33</v>
      </c>
      <c r="F135" s="16">
        <v>46</v>
      </c>
      <c r="G135" s="16">
        <v>175</v>
      </c>
      <c r="H135" s="16">
        <v>83.8626</v>
      </c>
      <c r="I135" s="16">
        <v>79</v>
      </c>
      <c r="J135" s="16">
        <v>27.472899999999999</v>
      </c>
      <c r="K135" s="8">
        <v>49.669499999999999</v>
      </c>
      <c r="L135" s="8">
        <v>125.735</v>
      </c>
      <c r="M135" s="22">
        <f t="shared" si="0"/>
        <v>0.65732822370194111</v>
      </c>
      <c r="N135" s="22">
        <f t="shared" si="1"/>
        <v>-7.6491642071635653</v>
      </c>
      <c r="O135" s="22">
        <f t="shared" si="2"/>
        <v>47.476089685862839</v>
      </c>
    </row>
    <row r="136" spans="1:15" ht="16">
      <c r="A136" s="16" t="s">
        <v>44</v>
      </c>
      <c r="B136" s="16" t="s">
        <v>42</v>
      </c>
      <c r="C136" s="66" t="s">
        <v>75</v>
      </c>
      <c r="D136" s="16">
        <v>68</v>
      </c>
      <c r="E136" s="16" t="s">
        <v>34</v>
      </c>
      <c r="F136" s="16">
        <v>46</v>
      </c>
      <c r="G136" s="16">
        <v>180</v>
      </c>
      <c r="H136" s="16">
        <v>83.5137</v>
      </c>
      <c r="I136" s="16">
        <v>78</v>
      </c>
      <c r="J136" s="16">
        <v>27.8934</v>
      </c>
      <c r="K136" s="8">
        <v>49.669499999999999</v>
      </c>
      <c r="L136" s="8">
        <v>125.735</v>
      </c>
      <c r="M136" s="22">
        <f t="shared" si="0"/>
        <v>0.65732822370194111</v>
      </c>
      <c r="N136" s="22">
        <f t="shared" si="1"/>
        <v>-7.6491642071635653</v>
      </c>
      <c r="O136" s="22">
        <f t="shared" si="2"/>
        <v>47.246747868613234</v>
      </c>
    </row>
    <row r="137" spans="1:15" ht="16">
      <c r="A137" s="16" t="s">
        <v>44</v>
      </c>
      <c r="B137" s="16" t="s">
        <v>42</v>
      </c>
      <c r="C137" s="66" t="s">
        <v>75</v>
      </c>
      <c r="D137" s="16">
        <v>68</v>
      </c>
      <c r="E137" s="16" t="s">
        <v>35</v>
      </c>
      <c r="F137" s="16">
        <v>46</v>
      </c>
      <c r="G137" s="16">
        <v>174</v>
      </c>
      <c r="H137" s="16">
        <v>82.210899999999995</v>
      </c>
      <c r="I137" s="16">
        <v>77</v>
      </c>
      <c r="J137" s="16">
        <v>26.489699999999999</v>
      </c>
      <c r="K137" s="8">
        <v>49.669499999999999</v>
      </c>
      <c r="L137" s="8">
        <v>125.735</v>
      </c>
      <c r="M137" s="22">
        <f t="shared" si="0"/>
        <v>0.65732822370194111</v>
      </c>
      <c r="N137" s="22">
        <f t="shared" si="1"/>
        <v>-7.6491642071635653</v>
      </c>
      <c r="O137" s="22">
        <f t="shared" si="2"/>
        <v>46.39038065877434</v>
      </c>
    </row>
    <row r="138" spans="1:15" ht="16">
      <c r="A138" s="6" t="s">
        <v>45</v>
      </c>
      <c r="B138" s="6" t="s">
        <v>20</v>
      </c>
      <c r="C138" s="64" t="s">
        <v>75</v>
      </c>
      <c r="D138" s="6">
        <v>66</v>
      </c>
      <c r="E138" s="6" t="s">
        <v>21</v>
      </c>
      <c r="F138" s="6">
        <v>42</v>
      </c>
      <c r="G138" s="6">
        <v>178</v>
      </c>
      <c r="H138" s="6">
        <v>85.203400000000002</v>
      </c>
      <c r="I138" s="6">
        <v>81</v>
      </c>
      <c r="J138" s="6">
        <v>24.081099999999999</v>
      </c>
      <c r="K138" s="8">
        <v>53.222299999999997</v>
      </c>
      <c r="L138" s="8">
        <v>126.979</v>
      </c>
      <c r="M138" s="22">
        <f t="shared" si="0"/>
        <v>0.67790451579314159</v>
      </c>
      <c r="N138" s="22">
        <f t="shared" si="1"/>
        <v>-11.079637510897321</v>
      </c>
      <c r="O138" s="22">
        <f t="shared" si="2"/>
        <v>46.680132110032041</v>
      </c>
    </row>
    <row r="139" spans="1:15" ht="16">
      <c r="A139" s="6" t="s">
        <v>45</v>
      </c>
      <c r="B139" s="6" t="s">
        <v>20</v>
      </c>
      <c r="C139" s="64" t="s">
        <v>75</v>
      </c>
      <c r="D139" s="6">
        <v>66</v>
      </c>
      <c r="E139" s="6" t="s">
        <v>22</v>
      </c>
      <c r="F139" s="6">
        <v>37</v>
      </c>
      <c r="G139" s="6">
        <v>159</v>
      </c>
      <c r="H139" s="6">
        <v>82.481300000000005</v>
      </c>
      <c r="I139" s="6">
        <v>78</v>
      </c>
      <c r="J139" s="6">
        <v>22.952000000000002</v>
      </c>
      <c r="K139" s="8">
        <v>53.222299999999997</v>
      </c>
      <c r="L139" s="8">
        <v>126.979</v>
      </c>
      <c r="M139" s="22">
        <f t="shared" si="0"/>
        <v>0.67790451579314159</v>
      </c>
      <c r="N139" s="22">
        <f t="shared" si="1"/>
        <v>-11.079637510897321</v>
      </c>
      <c r="O139" s="22">
        <f t="shared" si="2"/>
        <v>44.83480822759153</v>
      </c>
    </row>
    <row r="140" spans="1:15" ht="16">
      <c r="A140" s="6" t="s">
        <v>45</v>
      </c>
      <c r="B140" s="6" t="s">
        <v>20</v>
      </c>
      <c r="C140" s="64" t="s">
        <v>75</v>
      </c>
      <c r="D140" s="6">
        <v>66</v>
      </c>
      <c r="E140" s="6" t="s">
        <v>23</v>
      </c>
      <c r="F140" s="6">
        <v>37</v>
      </c>
      <c r="G140" s="6">
        <v>154</v>
      </c>
      <c r="H140" s="6">
        <v>80.999700000000004</v>
      </c>
      <c r="I140" s="6">
        <v>77</v>
      </c>
      <c r="J140" s="6">
        <v>21.543099999999999</v>
      </c>
      <c r="K140" s="8">
        <v>53.222299999999997</v>
      </c>
      <c r="L140" s="8">
        <v>126.979</v>
      </c>
      <c r="M140" s="22">
        <f t="shared" si="0"/>
        <v>0.67790451579314159</v>
      </c>
      <c r="N140" s="22">
        <f t="shared" si="1"/>
        <v>-11.079637510897321</v>
      </c>
      <c r="O140" s="22">
        <f t="shared" si="2"/>
        <v>43.830424896992412</v>
      </c>
    </row>
    <row r="141" spans="1:15" ht="16">
      <c r="A141" s="6" t="s">
        <v>45</v>
      </c>
      <c r="B141" s="6" t="s">
        <v>20</v>
      </c>
      <c r="C141" s="64" t="s">
        <v>75</v>
      </c>
      <c r="D141" s="6">
        <v>66</v>
      </c>
      <c r="E141" s="6" t="s">
        <v>24</v>
      </c>
      <c r="F141" s="6">
        <v>38</v>
      </c>
      <c r="G141" s="6">
        <v>149</v>
      </c>
      <c r="H141" s="6">
        <v>79.2303</v>
      </c>
      <c r="I141" s="6">
        <v>75</v>
      </c>
      <c r="J141" s="6">
        <v>20.005800000000001</v>
      </c>
      <c r="K141" s="8">
        <v>53.222299999999997</v>
      </c>
      <c r="L141" s="8">
        <v>126.979</v>
      </c>
      <c r="M141" s="22">
        <f t="shared" si="0"/>
        <v>0.67790451579314159</v>
      </c>
      <c r="N141" s="22">
        <f t="shared" si="1"/>
        <v>-11.079637510897321</v>
      </c>
      <c r="O141" s="22">
        <f t="shared" si="2"/>
        <v>42.630940646748023</v>
      </c>
    </row>
    <row r="142" spans="1:15" ht="16">
      <c r="A142" s="6" t="s">
        <v>45</v>
      </c>
      <c r="B142" s="6" t="s">
        <v>20</v>
      </c>
      <c r="C142" s="64" t="s">
        <v>75</v>
      </c>
      <c r="D142" s="6">
        <v>66</v>
      </c>
      <c r="E142" s="6" t="s">
        <v>25</v>
      </c>
      <c r="F142" s="6">
        <v>37</v>
      </c>
      <c r="G142" s="6">
        <v>147</v>
      </c>
      <c r="H142" s="6">
        <v>78.938500000000005</v>
      </c>
      <c r="I142" s="6">
        <v>75</v>
      </c>
      <c r="J142" s="6">
        <v>20.135999999999999</v>
      </c>
      <c r="K142" s="8">
        <v>53.222299999999997</v>
      </c>
      <c r="L142" s="8">
        <v>126.979</v>
      </c>
      <c r="M142" s="22">
        <f t="shared" si="0"/>
        <v>0.67790451579314159</v>
      </c>
      <c r="N142" s="22">
        <f t="shared" si="1"/>
        <v>-11.079637510897321</v>
      </c>
      <c r="O142" s="22">
        <f t="shared" si="2"/>
        <v>42.433128109039593</v>
      </c>
    </row>
    <row r="143" spans="1:15" ht="16">
      <c r="A143" s="13" t="s">
        <v>45</v>
      </c>
      <c r="B143" s="13" t="s">
        <v>20</v>
      </c>
      <c r="C143" s="65" t="s">
        <v>75</v>
      </c>
      <c r="D143" s="13">
        <v>66</v>
      </c>
      <c r="E143" s="13" t="s">
        <v>26</v>
      </c>
      <c r="F143" s="13">
        <v>38</v>
      </c>
      <c r="G143" s="13">
        <v>141</v>
      </c>
      <c r="H143" s="13">
        <v>65.6738</v>
      </c>
      <c r="I143" s="13">
        <v>62</v>
      </c>
      <c r="J143" s="13">
        <v>20.680599999999998</v>
      </c>
      <c r="K143" s="8">
        <v>53.222299999999997</v>
      </c>
      <c r="L143" s="8">
        <v>126.979</v>
      </c>
      <c r="M143" s="22">
        <f t="shared" si="0"/>
        <v>0.67790451579314159</v>
      </c>
      <c r="N143" s="22">
        <f t="shared" si="1"/>
        <v>-11.079637510897321</v>
      </c>
      <c r="O143" s="22">
        <f t="shared" si="2"/>
        <v>33.440928078398301</v>
      </c>
    </row>
    <row r="144" spans="1:15" ht="16">
      <c r="A144" s="13" t="s">
        <v>45</v>
      </c>
      <c r="B144" s="13" t="s">
        <v>20</v>
      </c>
      <c r="C144" s="65" t="s">
        <v>75</v>
      </c>
      <c r="D144" s="13">
        <v>66</v>
      </c>
      <c r="E144" s="13" t="s">
        <v>27</v>
      </c>
      <c r="F144" s="13">
        <v>38</v>
      </c>
      <c r="G144" s="13">
        <v>131</v>
      </c>
      <c r="H144" s="13">
        <v>64.316500000000005</v>
      </c>
      <c r="I144" s="13">
        <v>60</v>
      </c>
      <c r="J144" s="13">
        <v>20.2562</v>
      </c>
      <c r="K144" s="8">
        <v>53.222299999999997</v>
      </c>
      <c r="L144" s="8">
        <v>126.979</v>
      </c>
      <c r="M144" s="22">
        <f t="shared" si="0"/>
        <v>0.67790451579314159</v>
      </c>
      <c r="N144" s="22">
        <f t="shared" si="1"/>
        <v>-11.079637510897321</v>
      </c>
      <c r="O144" s="22">
        <f t="shared" si="2"/>
        <v>32.520808279112273</v>
      </c>
    </row>
    <row r="145" spans="1:15" ht="16">
      <c r="A145" s="13" t="s">
        <v>45</v>
      </c>
      <c r="B145" s="13" t="s">
        <v>20</v>
      </c>
      <c r="C145" s="65" t="s">
        <v>75</v>
      </c>
      <c r="D145" s="13">
        <v>66</v>
      </c>
      <c r="E145" s="13" t="s">
        <v>28</v>
      </c>
      <c r="F145" s="13">
        <v>26</v>
      </c>
      <c r="G145" s="13">
        <v>128</v>
      </c>
      <c r="H145" s="13">
        <v>64.097499999999997</v>
      </c>
      <c r="I145" s="13">
        <v>59</v>
      </c>
      <c r="J145" s="13">
        <v>20.3491</v>
      </c>
      <c r="K145" s="8">
        <v>53.222299999999997</v>
      </c>
      <c r="L145" s="8">
        <v>126.979</v>
      </c>
      <c r="M145" s="22">
        <f t="shared" si="0"/>
        <v>0.67790451579314159</v>
      </c>
      <c r="N145" s="22">
        <f t="shared" si="1"/>
        <v>-11.079637510897321</v>
      </c>
      <c r="O145" s="22">
        <f t="shared" si="2"/>
        <v>32.372347190153569</v>
      </c>
    </row>
    <row r="146" spans="1:15" ht="16">
      <c r="A146" s="13" t="s">
        <v>45</v>
      </c>
      <c r="B146" s="13" t="s">
        <v>20</v>
      </c>
      <c r="C146" s="65" t="s">
        <v>75</v>
      </c>
      <c r="D146" s="13">
        <v>66</v>
      </c>
      <c r="E146" s="13" t="s">
        <v>29</v>
      </c>
      <c r="F146" s="13">
        <v>38</v>
      </c>
      <c r="G146" s="13">
        <v>140</v>
      </c>
      <c r="H146" s="13">
        <v>64.111800000000002</v>
      </c>
      <c r="I146" s="13">
        <v>59</v>
      </c>
      <c r="J146" s="13">
        <v>20.6982</v>
      </c>
      <c r="K146" s="8">
        <v>53.222299999999997</v>
      </c>
      <c r="L146" s="8">
        <v>126.979</v>
      </c>
      <c r="M146" s="22">
        <f t="shared" si="0"/>
        <v>0.67790451579314159</v>
      </c>
      <c r="N146" s="22">
        <f t="shared" si="1"/>
        <v>-11.079637510897321</v>
      </c>
      <c r="O146" s="22">
        <f t="shared" si="2"/>
        <v>32.382041224729413</v>
      </c>
    </row>
    <row r="147" spans="1:15" ht="16">
      <c r="A147" s="13" t="s">
        <v>45</v>
      </c>
      <c r="B147" s="13" t="s">
        <v>20</v>
      </c>
      <c r="C147" s="65" t="s">
        <v>75</v>
      </c>
      <c r="D147" s="13">
        <v>66</v>
      </c>
      <c r="E147" s="13" t="s">
        <v>30</v>
      </c>
      <c r="F147" s="13">
        <v>38</v>
      </c>
      <c r="G147" s="13">
        <v>136</v>
      </c>
      <c r="H147" s="13">
        <v>65.317999999999998</v>
      </c>
      <c r="I147" s="13">
        <v>61</v>
      </c>
      <c r="J147" s="13">
        <v>21.2178</v>
      </c>
      <c r="K147" s="8">
        <v>53.222299999999997</v>
      </c>
      <c r="L147" s="8">
        <v>126.979</v>
      </c>
      <c r="M147" s="22">
        <f t="shared" si="0"/>
        <v>0.67790451579314159</v>
      </c>
      <c r="N147" s="22">
        <f t="shared" si="1"/>
        <v>-11.079637510897321</v>
      </c>
      <c r="O147" s="22">
        <f t="shared" si="2"/>
        <v>33.1997296516791</v>
      </c>
    </row>
    <row r="148" spans="1:15" ht="16">
      <c r="A148" s="16" t="s">
        <v>45</v>
      </c>
      <c r="B148" s="16" t="s">
        <v>20</v>
      </c>
      <c r="C148" s="66" t="s">
        <v>75</v>
      </c>
      <c r="D148" s="16">
        <v>66</v>
      </c>
      <c r="E148" s="16" t="s">
        <v>31</v>
      </c>
      <c r="F148" s="16">
        <v>46</v>
      </c>
      <c r="G148" s="16">
        <v>158</v>
      </c>
      <c r="H148" s="16">
        <v>81.524000000000001</v>
      </c>
      <c r="I148" s="16">
        <v>75</v>
      </c>
      <c r="J148" s="16">
        <v>26.907800000000002</v>
      </c>
      <c r="K148" s="8">
        <v>53.222299999999997</v>
      </c>
      <c r="L148" s="8">
        <v>126.979</v>
      </c>
      <c r="M148" s="22">
        <f t="shared" si="0"/>
        <v>0.67790451579314159</v>
      </c>
      <c r="N148" s="22">
        <f t="shared" si="1"/>
        <v>-11.079637510897321</v>
      </c>
      <c r="O148" s="22">
        <f t="shared" si="2"/>
        <v>44.185850234622755</v>
      </c>
    </row>
    <row r="149" spans="1:15" ht="16">
      <c r="A149" s="16" t="s">
        <v>45</v>
      </c>
      <c r="B149" s="16" t="s">
        <v>20</v>
      </c>
      <c r="C149" s="66" t="s">
        <v>75</v>
      </c>
      <c r="D149" s="16">
        <v>66</v>
      </c>
      <c r="E149" s="16" t="s">
        <v>32</v>
      </c>
      <c r="F149" s="16">
        <v>46</v>
      </c>
      <c r="G149" s="16">
        <v>167</v>
      </c>
      <c r="H149" s="16">
        <v>82.110100000000003</v>
      </c>
      <c r="I149" s="16">
        <v>76</v>
      </c>
      <c r="J149" s="16">
        <v>26.5365</v>
      </c>
      <c r="K149" s="8">
        <v>53.222299999999997</v>
      </c>
      <c r="L149" s="8">
        <v>126.979</v>
      </c>
      <c r="M149" s="22">
        <f t="shared" si="0"/>
        <v>0.67790451579314159</v>
      </c>
      <c r="N149" s="22">
        <f t="shared" si="1"/>
        <v>-11.079637510897321</v>
      </c>
      <c r="O149" s="22">
        <f t="shared" si="2"/>
        <v>44.583170071329114</v>
      </c>
    </row>
    <row r="150" spans="1:15" ht="16">
      <c r="A150" s="16" t="s">
        <v>45</v>
      </c>
      <c r="B150" s="16" t="s">
        <v>20</v>
      </c>
      <c r="C150" s="66" t="s">
        <v>75</v>
      </c>
      <c r="D150" s="16">
        <v>66</v>
      </c>
      <c r="E150" s="16" t="s">
        <v>33</v>
      </c>
      <c r="F150" s="16">
        <v>46</v>
      </c>
      <c r="G150" s="16">
        <v>165</v>
      </c>
      <c r="H150" s="16">
        <v>82.219300000000004</v>
      </c>
      <c r="I150" s="16">
        <v>76</v>
      </c>
      <c r="J150" s="16">
        <v>26.9816</v>
      </c>
      <c r="K150" s="8">
        <v>53.222299999999997</v>
      </c>
      <c r="L150" s="8">
        <v>126.979</v>
      </c>
      <c r="M150" s="22">
        <f t="shared" si="0"/>
        <v>0.67790451579314159</v>
      </c>
      <c r="N150" s="22">
        <f t="shared" si="1"/>
        <v>-11.079637510897321</v>
      </c>
      <c r="O150" s="22">
        <f t="shared" si="2"/>
        <v>44.657197244453727</v>
      </c>
    </row>
    <row r="151" spans="1:15" ht="16">
      <c r="A151" s="16" t="s">
        <v>45</v>
      </c>
      <c r="B151" s="16" t="s">
        <v>20</v>
      </c>
      <c r="C151" s="66" t="s">
        <v>75</v>
      </c>
      <c r="D151" s="16">
        <v>66</v>
      </c>
      <c r="E151" s="16" t="s">
        <v>34</v>
      </c>
      <c r="F151" s="16">
        <v>46</v>
      </c>
      <c r="G151" s="16">
        <v>166</v>
      </c>
      <c r="H151" s="16">
        <v>81.264600000000002</v>
      </c>
      <c r="I151" s="16">
        <v>75</v>
      </c>
      <c r="J151" s="16">
        <v>26.5002</v>
      </c>
      <c r="K151" s="8">
        <v>53.222299999999997</v>
      </c>
      <c r="L151" s="8">
        <v>126.979</v>
      </c>
      <c r="M151" s="22">
        <f t="shared" si="0"/>
        <v>0.67790451579314159</v>
      </c>
      <c r="N151" s="22">
        <f t="shared" si="1"/>
        <v>-11.079637510897321</v>
      </c>
      <c r="O151" s="22">
        <f t="shared" si="2"/>
        <v>44.010001803226011</v>
      </c>
    </row>
    <row r="152" spans="1:15" ht="16">
      <c r="A152" s="16" t="s">
        <v>45</v>
      </c>
      <c r="B152" s="16" t="s">
        <v>20</v>
      </c>
      <c r="C152" s="66" t="s">
        <v>75</v>
      </c>
      <c r="D152" s="16">
        <v>66</v>
      </c>
      <c r="E152" s="16" t="s">
        <v>35</v>
      </c>
      <c r="F152" s="16">
        <v>46</v>
      </c>
      <c r="G152" s="16">
        <v>164</v>
      </c>
      <c r="H152" s="16">
        <v>80.841899999999995</v>
      </c>
      <c r="I152" s="16">
        <v>76</v>
      </c>
      <c r="J152" s="16">
        <v>25.8233</v>
      </c>
      <c r="K152" s="8">
        <v>53.222299999999997</v>
      </c>
      <c r="L152" s="8">
        <v>126.979</v>
      </c>
      <c r="M152" s="22">
        <f t="shared" si="0"/>
        <v>0.67790451579314159</v>
      </c>
      <c r="N152" s="22">
        <f t="shared" si="1"/>
        <v>-11.079637510897321</v>
      </c>
      <c r="O152" s="22">
        <f t="shared" si="2"/>
        <v>43.72345156440025</v>
      </c>
    </row>
    <row r="153" spans="1:15" ht="16">
      <c r="A153" s="6" t="s">
        <v>46</v>
      </c>
      <c r="B153" s="6" t="s">
        <v>47</v>
      </c>
      <c r="C153" s="64" t="s">
        <v>76</v>
      </c>
      <c r="D153" s="6">
        <v>95</v>
      </c>
      <c r="E153" s="6" t="s">
        <v>21</v>
      </c>
      <c r="F153" s="6">
        <v>38</v>
      </c>
      <c r="G153" s="6">
        <v>200</v>
      </c>
      <c r="H153" s="6">
        <v>87.653599999999997</v>
      </c>
      <c r="I153" s="6">
        <v>84</v>
      </c>
      <c r="J153" s="6">
        <v>30.915800000000001</v>
      </c>
      <c r="K153" s="8">
        <v>44.594499999999996</v>
      </c>
      <c r="L153" s="8">
        <v>117.521</v>
      </c>
      <c r="M153" s="22">
        <f t="shared" si="0"/>
        <v>0.6856218247139243</v>
      </c>
      <c r="N153" s="22">
        <f t="shared" si="1"/>
        <v>-5.5749624622050931</v>
      </c>
      <c r="O153" s="22">
        <f t="shared" si="2"/>
        <v>54.52225871253934</v>
      </c>
    </row>
    <row r="154" spans="1:15" ht="16">
      <c r="A154" s="6" t="s">
        <v>46</v>
      </c>
      <c r="B154" s="6" t="s">
        <v>47</v>
      </c>
      <c r="C154" s="64" t="s">
        <v>76</v>
      </c>
      <c r="D154" s="6">
        <v>95</v>
      </c>
      <c r="E154" s="6" t="s">
        <v>22</v>
      </c>
      <c r="F154" s="6">
        <v>38</v>
      </c>
      <c r="G154" s="6">
        <v>201</v>
      </c>
      <c r="H154" s="6">
        <v>85.940299999999993</v>
      </c>
      <c r="I154" s="6">
        <v>80</v>
      </c>
      <c r="J154" s="6">
        <v>30.283300000000001</v>
      </c>
      <c r="K154" s="8">
        <v>44.594499999999996</v>
      </c>
      <c r="L154" s="8">
        <v>117.521</v>
      </c>
      <c r="M154" s="22">
        <f t="shared" si="0"/>
        <v>0.6856218247139243</v>
      </c>
      <c r="N154" s="22">
        <f t="shared" si="1"/>
        <v>-5.5749624622050931</v>
      </c>
      <c r="O154" s="22">
        <f t="shared" si="2"/>
        <v>53.347582840256969</v>
      </c>
    </row>
    <row r="155" spans="1:15" ht="16">
      <c r="A155" s="6" t="s">
        <v>46</v>
      </c>
      <c r="B155" s="6" t="s">
        <v>47</v>
      </c>
      <c r="C155" s="64" t="s">
        <v>76</v>
      </c>
      <c r="D155" s="6">
        <v>95</v>
      </c>
      <c r="E155" s="6" t="s">
        <v>23</v>
      </c>
      <c r="F155" s="6">
        <v>38</v>
      </c>
      <c r="G155" s="6">
        <v>188</v>
      </c>
      <c r="H155" s="6">
        <v>83.712000000000003</v>
      </c>
      <c r="I155" s="6">
        <v>79</v>
      </c>
      <c r="J155" s="6">
        <v>27.706199999999999</v>
      </c>
      <c r="K155" s="8">
        <v>44.594499999999996</v>
      </c>
      <c r="L155" s="8">
        <v>117.521</v>
      </c>
      <c r="M155" s="22">
        <f t="shared" si="0"/>
        <v>0.6856218247139243</v>
      </c>
      <c r="N155" s="22">
        <f t="shared" si="1"/>
        <v>-5.5749624622050931</v>
      </c>
      <c r="O155" s="22">
        <f t="shared" si="2"/>
        <v>51.81981172824694</v>
      </c>
    </row>
    <row r="156" spans="1:15" ht="16">
      <c r="A156" s="6" t="s">
        <v>46</v>
      </c>
      <c r="B156" s="6" t="s">
        <v>47</v>
      </c>
      <c r="C156" s="64" t="s">
        <v>76</v>
      </c>
      <c r="D156" s="6">
        <v>95</v>
      </c>
      <c r="E156" s="6" t="s">
        <v>24</v>
      </c>
      <c r="F156" s="6">
        <v>38</v>
      </c>
      <c r="G156" s="6">
        <v>169</v>
      </c>
      <c r="H156" s="6">
        <v>80.107699999999994</v>
      </c>
      <c r="I156" s="6">
        <v>75</v>
      </c>
      <c r="J156" s="6">
        <v>25.511500000000002</v>
      </c>
      <c r="K156" s="8">
        <v>44.594499999999996</v>
      </c>
      <c r="L156" s="8">
        <v>117.521</v>
      </c>
      <c r="M156" s="22">
        <f t="shared" si="0"/>
        <v>0.6856218247139243</v>
      </c>
      <c r="N156" s="22">
        <f t="shared" si="1"/>
        <v>-5.5749624622050931</v>
      </c>
      <c r="O156" s="22">
        <f t="shared" si="2"/>
        <v>49.34862498543054</v>
      </c>
    </row>
    <row r="157" spans="1:15" ht="16">
      <c r="A157" s="6" t="s">
        <v>46</v>
      </c>
      <c r="B157" s="6" t="s">
        <v>47</v>
      </c>
      <c r="C157" s="64" t="s">
        <v>76</v>
      </c>
      <c r="D157" s="6">
        <v>95</v>
      </c>
      <c r="E157" s="6" t="s">
        <v>25</v>
      </c>
      <c r="F157" s="6">
        <v>38</v>
      </c>
      <c r="G157" s="6">
        <v>164</v>
      </c>
      <c r="H157" s="6">
        <v>78.383399999999995</v>
      </c>
      <c r="I157" s="6">
        <v>73</v>
      </c>
      <c r="J157" s="6">
        <v>25.224</v>
      </c>
      <c r="K157" s="8">
        <v>44.594499999999996</v>
      </c>
      <c r="L157" s="8">
        <v>117.521</v>
      </c>
      <c r="M157" s="22">
        <f t="shared" si="0"/>
        <v>0.6856218247139243</v>
      </c>
      <c r="N157" s="22">
        <f t="shared" si="1"/>
        <v>-5.5749624622050931</v>
      </c>
      <c r="O157" s="22">
        <f t="shared" si="2"/>
        <v>48.166407273076317</v>
      </c>
    </row>
    <row r="158" spans="1:15" ht="16">
      <c r="A158" s="13" t="s">
        <v>46</v>
      </c>
      <c r="B158" s="13" t="s">
        <v>47</v>
      </c>
      <c r="C158" s="65" t="s">
        <v>76</v>
      </c>
      <c r="D158" s="13">
        <v>95</v>
      </c>
      <c r="E158" s="13" t="s">
        <v>26</v>
      </c>
      <c r="F158" s="13">
        <v>33</v>
      </c>
      <c r="G158" s="13">
        <v>146</v>
      </c>
      <c r="H158" s="13">
        <v>64.769400000000005</v>
      </c>
      <c r="I158" s="13">
        <v>60</v>
      </c>
      <c r="J158" s="13">
        <v>23.738800000000001</v>
      </c>
      <c r="K158" s="8">
        <v>44.594499999999996</v>
      </c>
      <c r="L158" s="8">
        <v>117.521</v>
      </c>
      <c r="M158" s="22">
        <f t="shared" si="0"/>
        <v>0.6856218247139243</v>
      </c>
      <c r="N158" s="22">
        <f t="shared" si="1"/>
        <v>-5.5749624622050931</v>
      </c>
      <c r="O158" s="22">
        <f t="shared" si="2"/>
        <v>38.832351751420958</v>
      </c>
    </row>
    <row r="159" spans="1:15" ht="16">
      <c r="A159" s="13" t="s">
        <v>46</v>
      </c>
      <c r="B159" s="13" t="s">
        <v>47</v>
      </c>
      <c r="C159" s="65" t="s">
        <v>76</v>
      </c>
      <c r="D159" s="13">
        <v>95</v>
      </c>
      <c r="E159" s="13" t="s">
        <v>27</v>
      </c>
      <c r="F159" s="13">
        <v>33</v>
      </c>
      <c r="G159" s="13">
        <v>148</v>
      </c>
      <c r="H159" s="13">
        <v>63.510199999999998</v>
      </c>
      <c r="I159" s="13">
        <v>59</v>
      </c>
      <c r="J159" s="13">
        <v>23.0534</v>
      </c>
      <c r="K159" s="8">
        <v>44.594499999999996</v>
      </c>
      <c r="L159" s="8">
        <v>117.521</v>
      </c>
      <c r="M159" s="22">
        <f t="shared" si="0"/>
        <v>0.6856218247139243</v>
      </c>
      <c r="N159" s="22">
        <f t="shared" si="1"/>
        <v>-5.5749624622050931</v>
      </c>
      <c r="O159" s="22">
        <f t="shared" si="2"/>
        <v>37.969016749741179</v>
      </c>
    </row>
    <row r="160" spans="1:15" ht="16">
      <c r="A160" s="13" t="s">
        <v>46</v>
      </c>
      <c r="B160" s="13" t="s">
        <v>47</v>
      </c>
      <c r="C160" s="65" t="s">
        <v>76</v>
      </c>
      <c r="D160" s="13">
        <v>95</v>
      </c>
      <c r="E160" s="13" t="s">
        <v>28</v>
      </c>
      <c r="F160" s="13">
        <v>21</v>
      </c>
      <c r="G160" s="13">
        <v>139</v>
      </c>
      <c r="H160" s="13">
        <v>64.1374</v>
      </c>
      <c r="I160" s="13">
        <v>60</v>
      </c>
      <c r="J160" s="13">
        <v>23.001000000000001</v>
      </c>
      <c r="K160" s="8">
        <v>44.594499999999996</v>
      </c>
      <c r="L160" s="8">
        <v>117.521</v>
      </c>
      <c r="M160" s="22">
        <f t="shared" si="0"/>
        <v>0.6856218247139243</v>
      </c>
      <c r="N160" s="22">
        <f t="shared" si="1"/>
        <v>-5.5749624622050931</v>
      </c>
      <c r="O160" s="22">
        <f t="shared" si="2"/>
        <v>38.399038758201755</v>
      </c>
    </row>
    <row r="161" spans="1:15" ht="16">
      <c r="A161" s="13" t="s">
        <v>46</v>
      </c>
      <c r="B161" s="13" t="s">
        <v>47</v>
      </c>
      <c r="C161" s="65" t="s">
        <v>76</v>
      </c>
      <c r="D161" s="13">
        <v>95</v>
      </c>
      <c r="E161" s="13" t="s">
        <v>29</v>
      </c>
      <c r="F161" s="13">
        <v>21</v>
      </c>
      <c r="G161" s="13">
        <v>255</v>
      </c>
      <c r="H161" s="13">
        <v>64.642600000000002</v>
      </c>
      <c r="I161" s="13">
        <v>60</v>
      </c>
      <c r="J161" s="13">
        <v>23.841999999999999</v>
      </c>
      <c r="K161" s="8">
        <v>44.594499999999996</v>
      </c>
      <c r="L161" s="8">
        <v>117.521</v>
      </c>
      <c r="M161" s="22">
        <f t="shared" si="0"/>
        <v>0.6856218247139243</v>
      </c>
      <c r="N161" s="22">
        <f t="shared" si="1"/>
        <v>-5.5749624622050931</v>
      </c>
      <c r="O161" s="22">
        <f t="shared" si="2"/>
        <v>38.74541490404723</v>
      </c>
    </row>
    <row r="162" spans="1:15" ht="16">
      <c r="A162" s="13" t="s">
        <v>46</v>
      </c>
      <c r="B162" s="13" t="s">
        <v>47</v>
      </c>
      <c r="C162" s="65" t="s">
        <v>76</v>
      </c>
      <c r="D162" s="13">
        <v>95</v>
      </c>
      <c r="E162" s="13" t="s">
        <v>30</v>
      </c>
      <c r="F162" s="13">
        <v>33</v>
      </c>
      <c r="G162" s="13">
        <v>255</v>
      </c>
      <c r="H162" s="13">
        <v>66.475700000000003</v>
      </c>
      <c r="I162" s="13">
        <v>61</v>
      </c>
      <c r="J162" s="13">
        <v>25.833500000000001</v>
      </c>
      <c r="K162" s="8">
        <v>44.594499999999996</v>
      </c>
      <c r="L162" s="8">
        <v>117.521</v>
      </c>
      <c r="M162" s="22">
        <f t="shared" si="0"/>
        <v>0.6856218247139243</v>
      </c>
      <c r="N162" s="22">
        <f t="shared" si="1"/>
        <v>-5.5749624622050931</v>
      </c>
      <c r="O162" s="22">
        <f t="shared" si="2"/>
        <v>40.002228270930324</v>
      </c>
    </row>
    <row r="163" spans="1:15" ht="16">
      <c r="A163" s="16" t="s">
        <v>46</v>
      </c>
      <c r="B163" s="16" t="s">
        <v>47</v>
      </c>
      <c r="C163" s="66" t="s">
        <v>76</v>
      </c>
      <c r="D163" s="16">
        <v>95</v>
      </c>
      <c r="E163" s="16" t="s">
        <v>31</v>
      </c>
      <c r="F163" s="16">
        <v>33</v>
      </c>
      <c r="G163" s="16">
        <v>176</v>
      </c>
      <c r="H163" s="16">
        <v>71.436999999999998</v>
      </c>
      <c r="I163" s="16">
        <v>62</v>
      </c>
      <c r="J163" s="16">
        <v>32.833599999999997</v>
      </c>
      <c r="K163" s="8">
        <v>44.594499999999996</v>
      </c>
      <c r="L163" s="8">
        <v>117.521</v>
      </c>
      <c r="M163" s="22">
        <f t="shared" si="0"/>
        <v>0.6856218247139243</v>
      </c>
      <c r="N163" s="22">
        <f t="shared" si="1"/>
        <v>-5.5749624622050931</v>
      </c>
      <c r="O163" s="22">
        <f t="shared" si="2"/>
        <v>43.403803829883515</v>
      </c>
    </row>
    <row r="164" spans="1:15" ht="16">
      <c r="A164" s="16" t="s">
        <v>46</v>
      </c>
      <c r="B164" s="16" t="s">
        <v>47</v>
      </c>
      <c r="C164" s="66" t="s">
        <v>76</v>
      </c>
      <c r="D164" s="16">
        <v>95</v>
      </c>
      <c r="E164" s="16" t="s">
        <v>32</v>
      </c>
      <c r="F164" s="16">
        <v>33</v>
      </c>
      <c r="G164" s="16">
        <v>188</v>
      </c>
      <c r="H164" s="16">
        <v>71.522300000000001</v>
      </c>
      <c r="I164" s="16">
        <v>62</v>
      </c>
      <c r="J164" s="16">
        <v>33.320999999999998</v>
      </c>
      <c r="K164" s="8">
        <v>44.594499999999996</v>
      </c>
      <c r="L164" s="8">
        <v>117.521</v>
      </c>
      <c r="M164" s="22">
        <f t="shared" si="0"/>
        <v>0.6856218247139243</v>
      </c>
      <c r="N164" s="22">
        <f t="shared" si="1"/>
        <v>-5.5749624622050931</v>
      </c>
      <c r="O164" s="22">
        <f t="shared" si="2"/>
        <v>43.462287371531616</v>
      </c>
    </row>
    <row r="165" spans="1:15" ht="16">
      <c r="A165" s="16" t="s">
        <v>46</v>
      </c>
      <c r="B165" s="16" t="s">
        <v>47</v>
      </c>
      <c r="C165" s="66" t="s">
        <v>76</v>
      </c>
      <c r="D165" s="16">
        <v>95</v>
      </c>
      <c r="E165" s="16" t="s">
        <v>33</v>
      </c>
      <c r="F165" s="16">
        <v>33</v>
      </c>
      <c r="G165" s="16">
        <v>191</v>
      </c>
      <c r="H165" s="16">
        <v>71.700699999999998</v>
      </c>
      <c r="I165" s="16">
        <v>63</v>
      </c>
      <c r="J165" s="16">
        <v>32.601199999999999</v>
      </c>
      <c r="K165" s="8">
        <v>44.594499999999996</v>
      </c>
      <c r="L165" s="8">
        <v>117.521</v>
      </c>
      <c r="M165" s="22">
        <f t="shared" si="0"/>
        <v>0.6856218247139243</v>
      </c>
      <c r="N165" s="22">
        <f t="shared" si="1"/>
        <v>-5.5749624622050931</v>
      </c>
      <c r="O165" s="22">
        <f t="shared" si="2"/>
        <v>43.584602305060578</v>
      </c>
    </row>
    <row r="166" spans="1:15" ht="16">
      <c r="A166" s="16" t="s">
        <v>46</v>
      </c>
      <c r="B166" s="16" t="s">
        <v>47</v>
      </c>
      <c r="C166" s="66" t="s">
        <v>76</v>
      </c>
      <c r="D166" s="16">
        <v>95</v>
      </c>
      <c r="E166" s="16" t="s">
        <v>34</v>
      </c>
      <c r="F166" s="16">
        <v>33</v>
      </c>
      <c r="G166" s="16">
        <v>174</v>
      </c>
      <c r="H166" s="16">
        <v>70.197599999999994</v>
      </c>
      <c r="I166" s="16">
        <v>62</v>
      </c>
      <c r="J166" s="16">
        <v>31.123699999999999</v>
      </c>
      <c r="K166" s="8">
        <v>44.594499999999996</v>
      </c>
      <c r="L166" s="8">
        <v>117.521</v>
      </c>
      <c r="M166" s="22">
        <f t="shared" si="0"/>
        <v>0.6856218247139243</v>
      </c>
      <c r="N166" s="22">
        <f t="shared" si="1"/>
        <v>-5.5749624622050931</v>
      </c>
      <c r="O166" s="22">
        <f t="shared" si="2"/>
        <v>42.554044140333076</v>
      </c>
    </row>
    <row r="167" spans="1:15" ht="16">
      <c r="A167" s="16" t="s">
        <v>46</v>
      </c>
      <c r="B167" s="16" t="s">
        <v>47</v>
      </c>
      <c r="C167" s="66" t="s">
        <v>76</v>
      </c>
      <c r="D167" s="16">
        <v>95</v>
      </c>
      <c r="E167" s="16" t="s">
        <v>35</v>
      </c>
      <c r="F167" s="16">
        <v>33</v>
      </c>
      <c r="G167" s="16">
        <v>181</v>
      </c>
      <c r="H167" s="16">
        <v>69.497200000000007</v>
      </c>
      <c r="I167" s="16">
        <v>61</v>
      </c>
      <c r="J167" s="16">
        <v>30.934899999999999</v>
      </c>
      <c r="K167" s="8">
        <v>44.594499999999996</v>
      </c>
      <c r="L167" s="8">
        <v>117.521</v>
      </c>
      <c r="M167" s="22">
        <f t="shared" si="0"/>
        <v>0.6856218247139243</v>
      </c>
      <c r="N167" s="22">
        <f t="shared" si="1"/>
        <v>-5.5749624622050931</v>
      </c>
      <c r="O167" s="22">
        <f t="shared" si="2"/>
        <v>42.073834614303451</v>
      </c>
    </row>
    <row r="168" spans="1:15" ht="16">
      <c r="A168" s="6" t="s">
        <v>48</v>
      </c>
      <c r="B168" s="6" t="s">
        <v>49</v>
      </c>
      <c r="C168" s="64" t="s">
        <v>75</v>
      </c>
      <c r="D168" s="6">
        <v>72.5</v>
      </c>
      <c r="E168" s="6" t="s">
        <v>21</v>
      </c>
      <c r="F168" s="6">
        <v>55</v>
      </c>
      <c r="G168" s="6">
        <v>195</v>
      </c>
      <c r="H168" s="6">
        <v>92.822100000000006</v>
      </c>
      <c r="I168" s="6">
        <v>88</v>
      </c>
      <c r="J168" s="6">
        <v>25.331099999999999</v>
      </c>
      <c r="K168" s="8">
        <v>49.546300000000002</v>
      </c>
      <c r="L168" s="8">
        <v>122.44</v>
      </c>
      <c r="M168" s="22">
        <f t="shared" si="0"/>
        <v>0.68593033417154026</v>
      </c>
      <c r="N168" s="22">
        <f t="shared" si="1"/>
        <v>-8.9853101159633866</v>
      </c>
      <c r="O168" s="22">
        <f t="shared" si="2"/>
        <v>54.684183955540746</v>
      </c>
    </row>
    <row r="169" spans="1:15" ht="16">
      <c r="A169" s="6" t="s">
        <v>48</v>
      </c>
      <c r="B169" s="6" t="s">
        <v>49</v>
      </c>
      <c r="C169" s="64" t="s">
        <v>75</v>
      </c>
      <c r="D169" s="6">
        <v>72.5</v>
      </c>
      <c r="E169" s="6" t="s">
        <v>22</v>
      </c>
      <c r="F169" s="6">
        <v>55</v>
      </c>
      <c r="G169" s="6">
        <v>190</v>
      </c>
      <c r="H169" s="6">
        <v>90.340100000000007</v>
      </c>
      <c r="I169" s="6">
        <v>85</v>
      </c>
      <c r="J169" s="6">
        <v>24.506</v>
      </c>
      <c r="K169" s="8">
        <v>49.546300000000002</v>
      </c>
      <c r="L169" s="8">
        <v>122.44</v>
      </c>
      <c r="M169" s="22">
        <f t="shared" si="0"/>
        <v>0.68593033417154026</v>
      </c>
      <c r="N169" s="22">
        <f t="shared" si="1"/>
        <v>-8.9853101159633866</v>
      </c>
      <c r="O169" s="22">
        <f t="shared" si="2"/>
        <v>52.981704866126982</v>
      </c>
    </row>
    <row r="170" spans="1:15" ht="16">
      <c r="A170" s="6" t="s">
        <v>48</v>
      </c>
      <c r="B170" s="6" t="s">
        <v>49</v>
      </c>
      <c r="C170" s="64" t="s">
        <v>75</v>
      </c>
      <c r="D170" s="6">
        <v>72.5</v>
      </c>
      <c r="E170" s="6" t="s">
        <v>23</v>
      </c>
      <c r="F170" s="6">
        <v>57</v>
      </c>
      <c r="G170" s="6">
        <v>181</v>
      </c>
      <c r="H170" s="6">
        <v>87.035399999999996</v>
      </c>
      <c r="I170" s="6">
        <v>83</v>
      </c>
      <c r="J170" s="6">
        <v>21.9681</v>
      </c>
      <c r="K170" s="8">
        <v>49.546300000000002</v>
      </c>
      <c r="L170" s="8">
        <v>122.44</v>
      </c>
      <c r="M170" s="22">
        <f t="shared" si="0"/>
        <v>0.68593033417154026</v>
      </c>
      <c r="N170" s="22">
        <f t="shared" si="1"/>
        <v>-8.9853101159633866</v>
      </c>
      <c r="O170" s="22">
        <f t="shared" si="2"/>
        <v>50.714910890790286</v>
      </c>
    </row>
    <row r="171" spans="1:15" ht="16">
      <c r="A171" s="6" t="s">
        <v>48</v>
      </c>
      <c r="B171" s="6" t="s">
        <v>49</v>
      </c>
      <c r="C171" s="64" t="s">
        <v>75</v>
      </c>
      <c r="D171" s="6">
        <v>72.5</v>
      </c>
      <c r="E171" s="6" t="s">
        <v>24</v>
      </c>
      <c r="F171" s="6">
        <v>48</v>
      </c>
      <c r="G171" s="6">
        <v>179</v>
      </c>
      <c r="H171" s="6">
        <v>84.571200000000005</v>
      </c>
      <c r="I171" s="6">
        <v>80</v>
      </c>
      <c r="J171" s="6">
        <v>21.064399999999999</v>
      </c>
      <c r="K171" s="8">
        <v>49.546300000000002</v>
      </c>
      <c r="L171" s="8">
        <v>122.44</v>
      </c>
      <c r="M171" s="22">
        <f t="shared" si="0"/>
        <v>0.68593033417154026</v>
      </c>
      <c r="N171" s="22">
        <f t="shared" si="1"/>
        <v>-8.9853101159633866</v>
      </c>
      <c r="O171" s="22">
        <f t="shared" si="2"/>
        <v>49.024641361324782</v>
      </c>
    </row>
    <row r="172" spans="1:15" ht="16">
      <c r="A172" s="6" t="s">
        <v>48</v>
      </c>
      <c r="B172" s="6" t="s">
        <v>49</v>
      </c>
      <c r="C172" s="64" t="s">
        <v>75</v>
      </c>
      <c r="D172" s="6">
        <v>72.5</v>
      </c>
      <c r="E172" s="6" t="s">
        <v>25</v>
      </c>
      <c r="F172" s="6">
        <v>57</v>
      </c>
      <c r="G172" s="6">
        <v>167</v>
      </c>
      <c r="H172" s="6">
        <v>83.724699999999999</v>
      </c>
      <c r="I172" s="6">
        <v>79</v>
      </c>
      <c r="J172" s="6">
        <v>20.160499999999999</v>
      </c>
      <c r="K172" s="8">
        <v>49.546300000000002</v>
      </c>
      <c r="L172" s="8">
        <v>122.44</v>
      </c>
      <c r="M172" s="22">
        <f t="shared" si="0"/>
        <v>0.68593033417154026</v>
      </c>
      <c r="N172" s="22">
        <f t="shared" si="1"/>
        <v>-8.9853101159633866</v>
      </c>
      <c r="O172" s="22">
        <f t="shared" si="2"/>
        <v>48.444001333448568</v>
      </c>
    </row>
    <row r="173" spans="1:15" ht="16">
      <c r="A173" s="13" t="s">
        <v>48</v>
      </c>
      <c r="B173" s="13" t="s">
        <v>49</v>
      </c>
      <c r="C173" s="65" t="s">
        <v>75</v>
      </c>
      <c r="D173" s="13">
        <v>72.5</v>
      </c>
      <c r="E173" s="13" t="s">
        <v>26</v>
      </c>
      <c r="F173" s="13">
        <v>37</v>
      </c>
      <c r="G173" s="13">
        <v>130</v>
      </c>
      <c r="H173" s="13">
        <v>67.868200000000002</v>
      </c>
      <c r="I173" s="13">
        <v>65</v>
      </c>
      <c r="J173" s="13">
        <v>17.412099999999999</v>
      </c>
      <c r="K173" s="8">
        <v>49.546300000000002</v>
      </c>
      <c r="L173" s="8">
        <v>122.44</v>
      </c>
      <c r="M173" s="22">
        <f t="shared" si="0"/>
        <v>0.68593033417154026</v>
      </c>
      <c r="N173" s="22">
        <f t="shared" si="1"/>
        <v>-8.9853101159633866</v>
      </c>
      <c r="O173" s="22">
        <f t="shared" si="2"/>
        <v>37.567546989657544</v>
      </c>
    </row>
    <row r="174" spans="1:15" ht="16">
      <c r="A174" s="13" t="s">
        <v>48</v>
      </c>
      <c r="B174" s="13" t="s">
        <v>49</v>
      </c>
      <c r="C174" s="65" t="s">
        <v>75</v>
      </c>
      <c r="D174" s="13">
        <v>72.5</v>
      </c>
      <c r="E174" s="13" t="s">
        <v>27</v>
      </c>
      <c r="F174" s="13">
        <v>35</v>
      </c>
      <c r="G174" s="13">
        <v>130</v>
      </c>
      <c r="H174" s="13">
        <v>68.652199999999993</v>
      </c>
      <c r="I174" s="13">
        <v>65</v>
      </c>
      <c r="J174" s="13">
        <v>17.8996</v>
      </c>
      <c r="K174" s="8">
        <v>49.546300000000002</v>
      </c>
      <c r="L174" s="8">
        <v>122.44</v>
      </c>
      <c r="M174" s="22">
        <f t="shared" si="0"/>
        <v>0.68593033417154026</v>
      </c>
      <c r="N174" s="22">
        <f t="shared" si="1"/>
        <v>-8.9853101159633866</v>
      </c>
      <c r="O174" s="22">
        <f t="shared" si="2"/>
        <v>38.105316371648023</v>
      </c>
    </row>
    <row r="175" spans="1:15" ht="16">
      <c r="A175" s="13" t="s">
        <v>48</v>
      </c>
      <c r="B175" s="13" t="s">
        <v>49</v>
      </c>
      <c r="C175" s="65" t="s">
        <v>75</v>
      </c>
      <c r="D175" s="13">
        <v>72.5</v>
      </c>
      <c r="E175" s="13" t="s">
        <v>28</v>
      </c>
      <c r="F175" s="13">
        <v>41</v>
      </c>
      <c r="G175" s="13">
        <v>133</v>
      </c>
      <c r="H175" s="13">
        <v>68.174899999999994</v>
      </c>
      <c r="I175" s="13">
        <v>65</v>
      </c>
      <c r="J175" s="13">
        <v>17.9742</v>
      </c>
      <c r="K175" s="8">
        <v>49.546300000000002</v>
      </c>
      <c r="L175" s="8">
        <v>122.44</v>
      </c>
      <c r="M175" s="22">
        <f t="shared" si="0"/>
        <v>0.68593033417154026</v>
      </c>
      <c r="N175" s="22">
        <f t="shared" si="1"/>
        <v>-8.9853101159633866</v>
      </c>
      <c r="O175" s="22">
        <f t="shared" si="2"/>
        <v>37.777921823147949</v>
      </c>
    </row>
    <row r="176" spans="1:15" ht="16">
      <c r="A176" s="13" t="s">
        <v>48</v>
      </c>
      <c r="B176" s="13" t="s">
        <v>49</v>
      </c>
      <c r="C176" s="65" t="s">
        <v>75</v>
      </c>
      <c r="D176" s="13">
        <v>72.5</v>
      </c>
      <c r="E176" s="13" t="s">
        <v>29</v>
      </c>
      <c r="F176" s="13">
        <v>33</v>
      </c>
      <c r="G176" s="13">
        <v>128</v>
      </c>
      <c r="H176" s="13">
        <v>68.683099999999996</v>
      </c>
      <c r="I176" s="13">
        <v>65</v>
      </c>
      <c r="J176" s="13">
        <v>18.211099999999998</v>
      </c>
      <c r="K176" s="8">
        <v>49.546300000000002</v>
      </c>
      <c r="L176" s="8">
        <v>122.44</v>
      </c>
      <c r="M176" s="22">
        <f t="shared" si="0"/>
        <v>0.68593033417154026</v>
      </c>
      <c r="N176" s="22">
        <f t="shared" si="1"/>
        <v>-8.9853101159633866</v>
      </c>
      <c r="O176" s="22">
        <f t="shared" si="2"/>
        <v>38.126511618973929</v>
      </c>
    </row>
    <row r="177" spans="1:15" ht="16">
      <c r="A177" s="13" t="s">
        <v>48</v>
      </c>
      <c r="B177" s="13" t="s">
        <v>49</v>
      </c>
      <c r="C177" s="65" t="s">
        <v>75</v>
      </c>
      <c r="D177" s="13">
        <v>72.5</v>
      </c>
      <c r="E177" s="13" t="s">
        <v>30</v>
      </c>
      <c r="F177" s="13">
        <v>42</v>
      </c>
      <c r="G177" s="13">
        <v>125</v>
      </c>
      <c r="H177" s="13">
        <v>67.301400000000001</v>
      </c>
      <c r="I177" s="13">
        <v>64</v>
      </c>
      <c r="J177" s="13">
        <v>17.082599999999999</v>
      </c>
      <c r="K177" s="8">
        <v>49.546300000000002</v>
      </c>
      <c r="L177" s="8">
        <v>122.44</v>
      </c>
      <c r="M177" s="22">
        <f t="shared" si="0"/>
        <v>0.68593033417154026</v>
      </c>
      <c r="N177" s="22">
        <f t="shared" si="1"/>
        <v>-8.9853101159633866</v>
      </c>
      <c r="O177" s="22">
        <f t="shared" si="2"/>
        <v>37.178761676249117</v>
      </c>
    </row>
    <row r="178" spans="1:15" ht="16">
      <c r="A178" s="16" t="s">
        <v>48</v>
      </c>
      <c r="B178" s="16" t="s">
        <v>49</v>
      </c>
      <c r="C178" s="66" t="s">
        <v>75</v>
      </c>
      <c r="D178" s="16">
        <v>72.5</v>
      </c>
      <c r="E178" s="16" t="s">
        <v>31</v>
      </c>
      <c r="F178" s="16">
        <v>57</v>
      </c>
      <c r="G178" s="16">
        <v>194</v>
      </c>
      <c r="H178" s="16">
        <v>101.113</v>
      </c>
      <c r="I178" s="16">
        <v>97</v>
      </c>
      <c r="J178" s="16">
        <v>29.8934</v>
      </c>
      <c r="K178" s="8">
        <v>49.546300000000002</v>
      </c>
      <c r="L178" s="8">
        <v>122.44</v>
      </c>
      <c r="M178" s="22">
        <f t="shared" si="0"/>
        <v>0.68593033417154026</v>
      </c>
      <c r="N178" s="22">
        <f t="shared" si="1"/>
        <v>-8.9853101159633866</v>
      </c>
      <c r="O178" s="22">
        <f t="shared" si="2"/>
        <v>60.371163763123562</v>
      </c>
    </row>
    <row r="179" spans="1:15" ht="16">
      <c r="A179" s="16" t="s">
        <v>48</v>
      </c>
      <c r="B179" s="16" t="s">
        <v>49</v>
      </c>
      <c r="C179" s="66" t="s">
        <v>75</v>
      </c>
      <c r="D179" s="16">
        <v>72.5</v>
      </c>
      <c r="E179" s="16" t="s">
        <v>32</v>
      </c>
      <c r="F179" s="16">
        <v>57</v>
      </c>
      <c r="G179" s="16">
        <v>187</v>
      </c>
      <c r="H179" s="16">
        <v>99.098600000000005</v>
      </c>
      <c r="I179" s="16">
        <v>95</v>
      </c>
      <c r="J179" s="16">
        <v>28.744599999999998</v>
      </c>
      <c r="K179" s="8">
        <v>49.546300000000002</v>
      </c>
      <c r="L179" s="8">
        <v>122.44</v>
      </c>
      <c r="M179" s="22">
        <f t="shared" si="0"/>
        <v>0.68593033417154026</v>
      </c>
      <c r="N179" s="22">
        <f t="shared" si="1"/>
        <v>-8.9853101159633866</v>
      </c>
      <c r="O179" s="22">
        <f t="shared" si="2"/>
        <v>58.989425697968414</v>
      </c>
    </row>
    <row r="180" spans="1:15" ht="16">
      <c r="A180" s="16" t="s">
        <v>48</v>
      </c>
      <c r="B180" s="16" t="s">
        <v>49</v>
      </c>
      <c r="C180" s="66" t="s">
        <v>75</v>
      </c>
      <c r="D180" s="16">
        <v>72.5</v>
      </c>
      <c r="E180" s="16" t="s">
        <v>33</v>
      </c>
      <c r="F180" s="16">
        <v>57</v>
      </c>
      <c r="G180" s="16">
        <v>185</v>
      </c>
      <c r="H180" s="16">
        <v>96.644800000000004</v>
      </c>
      <c r="I180" s="16">
        <v>92</v>
      </c>
      <c r="J180" s="16">
        <v>27.595300000000002</v>
      </c>
      <c r="K180" s="8">
        <v>49.546300000000002</v>
      </c>
      <c r="L180" s="8">
        <v>122.44</v>
      </c>
      <c r="M180" s="22">
        <f t="shared" si="0"/>
        <v>0.68593033417154026</v>
      </c>
      <c r="N180" s="22">
        <f t="shared" si="1"/>
        <v>-8.9853101159633866</v>
      </c>
      <c r="O180" s="22">
        <f t="shared" si="2"/>
        <v>57.306289843978291</v>
      </c>
    </row>
    <row r="181" spans="1:15" ht="16">
      <c r="A181" s="16" t="s">
        <v>48</v>
      </c>
      <c r="B181" s="16" t="s">
        <v>49</v>
      </c>
      <c r="C181" s="66" t="s">
        <v>75</v>
      </c>
      <c r="D181" s="16">
        <v>72.5</v>
      </c>
      <c r="E181" s="16" t="s">
        <v>34</v>
      </c>
      <c r="F181" s="16">
        <v>57</v>
      </c>
      <c r="G181" s="16">
        <v>184</v>
      </c>
      <c r="H181" s="16">
        <v>96.313000000000002</v>
      </c>
      <c r="I181" s="16">
        <v>92</v>
      </c>
      <c r="J181" s="16">
        <v>27.378499999999999</v>
      </c>
      <c r="K181" s="8">
        <v>49.546300000000002</v>
      </c>
      <c r="L181" s="8">
        <v>122.44</v>
      </c>
      <c r="M181" s="22">
        <f t="shared" si="0"/>
        <v>0.68593033417154026</v>
      </c>
      <c r="N181" s="22">
        <f t="shared" si="1"/>
        <v>-8.9853101159633866</v>
      </c>
      <c r="O181" s="22">
        <f t="shared" si="2"/>
        <v>57.078698159100171</v>
      </c>
    </row>
    <row r="182" spans="1:15" ht="16">
      <c r="A182" s="16" t="s">
        <v>48</v>
      </c>
      <c r="B182" s="16" t="s">
        <v>49</v>
      </c>
      <c r="C182" s="66" t="s">
        <v>75</v>
      </c>
      <c r="D182" s="16">
        <v>72.5</v>
      </c>
      <c r="E182" s="16" t="s">
        <v>35</v>
      </c>
      <c r="F182" s="16">
        <v>57</v>
      </c>
      <c r="G182" s="16">
        <v>183</v>
      </c>
      <c r="H182" s="16">
        <v>95.579499999999996</v>
      </c>
      <c r="I182" s="16">
        <v>90</v>
      </c>
      <c r="J182" s="16">
        <v>27.280799999999999</v>
      </c>
      <c r="K182" s="8">
        <v>49.546300000000002</v>
      </c>
      <c r="L182" s="8">
        <v>122.44</v>
      </c>
      <c r="M182" s="22">
        <f t="shared" si="0"/>
        <v>0.68593033417154026</v>
      </c>
      <c r="N182" s="22">
        <f t="shared" si="1"/>
        <v>-8.9853101159633866</v>
      </c>
      <c r="O182" s="22">
        <f t="shared" si="2"/>
        <v>56.575568258985342</v>
      </c>
    </row>
    <row r="183" spans="1:15" ht="16">
      <c r="A183" s="6" t="s">
        <v>50</v>
      </c>
      <c r="B183" s="6" t="s">
        <v>51</v>
      </c>
      <c r="C183" s="64" t="s">
        <v>75</v>
      </c>
      <c r="D183" s="6">
        <v>59.2</v>
      </c>
      <c r="E183" s="6" t="s">
        <v>21</v>
      </c>
      <c r="F183" s="6">
        <v>48</v>
      </c>
      <c r="G183" s="6">
        <v>192</v>
      </c>
      <c r="H183" s="6">
        <v>85.234200000000001</v>
      </c>
      <c r="I183" s="6">
        <v>80</v>
      </c>
      <c r="J183" s="6">
        <v>27.084399999999999</v>
      </c>
      <c r="K183" s="45">
        <v>53.4116</v>
      </c>
      <c r="L183" s="45">
        <v>153.291</v>
      </c>
      <c r="M183" s="22">
        <f t="shared" si="0"/>
        <v>0.50060372809608389</v>
      </c>
      <c r="N183" s="22">
        <f t="shared" si="1"/>
        <v>-1.7380460835767941</v>
      </c>
      <c r="O183" s="22">
        <f t="shared" si="2"/>
        <v>40.930512197710442</v>
      </c>
    </row>
    <row r="184" spans="1:15" ht="16">
      <c r="A184" s="6" t="s">
        <v>50</v>
      </c>
      <c r="B184" s="6" t="s">
        <v>51</v>
      </c>
      <c r="C184" s="64" t="s">
        <v>75</v>
      </c>
      <c r="D184" s="6">
        <v>59.2</v>
      </c>
      <c r="E184" s="6" t="s">
        <v>22</v>
      </c>
      <c r="F184" s="6">
        <v>48</v>
      </c>
      <c r="G184" s="6">
        <v>190</v>
      </c>
      <c r="H184" s="6">
        <v>84.229399999999998</v>
      </c>
      <c r="I184" s="6">
        <v>78</v>
      </c>
      <c r="J184" s="6">
        <v>27.033300000000001</v>
      </c>
      <c r="K184" s="45">
        <v>53.4116</v>
      </c>
      <c r="L184" s="45">
        <v>153.291</v>
      </c>
      <c r="M184" s="22">
        <f t="shared" si="0"/>
        <v>0.50060372809608389</v>
      </c>
      <c r="N184" s="22">
        <f t="shared" si="1"/>
        <v>-1.7380460835767941</v>
      </c>
      <c r="O184" s="22">
        <f t="shared" si="2"/>
        <v>40.427505571719493</v>
      </c>
    </row>
    <row r="185" spans="1:15" ht="16">
      <c r="A185" s="6" t="s">
        <v>50</v>
      </c>
      <c r="B185" s="6" t="s">
        <v>51</v>
      </c>
      <c r="C185" s="64" t="s">
        <v>75</v>
      </c>
      <c r="D185" s="6">
        <v>59.2</v>
      </c>
      <c r="E185" s="6" t="s">
        <v>23</v>
      </c>
      <c r="F185" s="6">
        <v>48</v>
      </c>
      <c r="G185" s="6">
        <v>170</v>
      </c>
      <c r="H185" s="6">
        <v>81.293199999999999</v>
      </c>
      <c r="I185" s="6">
        <v>76</v>
      </c>
      <c r="J185" s="6">
        <v>24.639199999999999</v>
      </c>
      <c r="K185" s="45">
        <v>53.4116</v>
      </c>
      <c r="L185" s="45">
        <v>153.291</v>
      </c>
      <c r="M185" s="22">
        <f t="shared" si="0"/>
        <v>0.50060372809608389</v>
      </c>
      <c r="N185" s="22">
        <f t="shared" si="1"/>
        <v>-1.7380460835767941</v>
      </c>
      <c r="O185" s="22">
        <f t="shared" si="2"/>
        <v>38.957632905283774</v>
      </c>
    </row>
    <row r="186" spans="1:15" ht="16">
      <c r="A186" s="6" t="s">
        <v>50</v>
      </c>
      <c r="B186" s="6" t="s">
        <v>51</v>
      </c>
      <c r="C186" s="64" t="s">
        <v>75</v>
      </c>
      <c r="D186" s="6">
        <v>59.2</v>
      </c>
      <c r="E186" s="6" t="s">
        <v>24</v>
      </c>
      <c r="F186" s="6">
        <v>48</v>
      </c>
      <c r="G186" s="6">
        <v>164</v>
      </c>
      <c r="H186" s="6">
        <v>79.409499999999994</v>
      </c>
      <c r="I186" s="6">
        <v>75</v>
      </c>
      <c r="J186" s="6">
        <v>23.146999999999998</v>
      </c>
      <c r="K186" s="45">
        <v>53.4116</v>
      </c>
      <c r="L186" s="45">
        <v>153.291</v>
      </c>
      <c r="M186" s="22">
        <f t="shared" si="0"/>
        <v>0.50060372809608389</v>
      </c>
      <c r="N186" s="22">
        <f t="shared" si="1"/>
        <v>-1.7380460835767941</v>
      </c>
      <c r="O186" s="22">
        <f t="shared" si="2"/>
        <v>38.014645662669182</v>
      </c>
    </row>
    <row r="187" spans="1:15" ht="16">
      <c r="A187" s="6" t="s">
        <v>50</v>
      </c>
      <c r="B187" s="6" t="s">
        <v>51</v>
      </c>
      <c r="C187" s="64" t="s">
        <v>75</v>
      </c>
      <c r="D187" s="6">
        <v>59.2</v>
      </c>
      <c r="E187" s="6" t="s">
        <v>25</v>
      </c>
      <c r="F187" s="6">
        <v>48</v>
      </c>
      <c r="G187" s="6">
        <v>155</v>
      </c>
      <c r="H187" s="6">
        <v>79.639099999999999</v>
      </c>
      <c r="I187" s="6">
        <v>75</v>
      </c>
      <c r="J187" s="6">
        <v>22.827400000000001</v>
      </c>
      <c r="K187" s="45">
        <v>53.4116</v>
      </c>
      <c r="L187" s="45">
        <v>153.291</v>
      </c>
      <c r="M187" s="22">
        <f t="shared" si="0"/>
        <v>0.50060372809608389</v>
      </c>
      <c r="N187" s="22">
        <f t="shared" si="1"/>
        <v>-1.7380460835767941</v>
      </c>
      <c r="O187" s="22">
        <f t="shared" si="2"/>
        <v>38.129584278640039</v>
      </c>
    </row>
    <row r="188" spans="1:15" ht="16">
      <c r="A188" s="13" t="s">
        <v>50</v>
      </c>
      <c r="B188" s="13" t="s">
        <v>51</v>
      </c>
      <c r="C188" s="65" t="s">
        <v>75</v>
      </c>
      <c r="D188" s="13">
        <v>59.2</v>
      </c>
      <c r="E188" s="13" t="s">
        <v>52</v>
      </c>
      <c r="F188" s="13">
        <v>49</v>
      </c>
      <c r="G188" s="13">
        <v>128</v>
      </c>
      <c r="H188" s="13">
        <v>69.802199999999999</v>
      </c>
      <c r="I188" s="13">
        <v>67</v>
      </c>
      <c r="J188" s="13">
        <v>14.9581</v>
      </c>
      <c r="K188" s="45">
        <v>53.4116</v>
      </c>
      <c r="L188" s="45">
        <v>153.291</v>
      </c>
      <c r="M188" s="22">
        <f t="shared" si="0"/>
        <v>0.50060372809608389</v>
      </c>
      <c r="N188" s="22">
        <f t="shared" si="1"/>
        <v>-1.7380460835767941</v>
      </c>
      <c r="O188" s="22">
        <f t="shared" si="2"/>
        <v>33.205195465731677</v>
      </c>
    </row>
    <row r="189" spans="1:15" ht="16">
      <c r="A189" s="13" t="s">
        <v>50</v>
      </c>
      <c r="B189" s="13" t="s">
        <v>51</v>
      </c>
      <c r="C189" s="65" t="s">
        <v>75</v>
      </c>
      <c r="D189" s="13">
        <v>59.2</v>
      </c>
      <c r="E189" s="13" t="s">
        <v>27</v>
      </c>
      <c r="F189" s="13">
        <v>49</v>
      </c>
      <c r="G189" s="13">
        <v>135</v>
      </c>
      <c r="H189" s="13">
        <v>71.436499999999995</v>
      </c>
      <c r="I189" s="13">
        <v>68</v>
      </c>
      <c r="J189" s="13">
        <v>16.260200000000001</v>
      </c>
      <c r="K189" s="45">
        <v>53.4116</v>
      </c>
      <c r="L189" s="45">
        <v>153.291</v>
      </c>
      <c r="M189" s="22">
        <f t="shared" si="0"/>
        <v>0.50060372809608389</v>
      </c>
      <c r="N189" s="22">
        <f t="shared" si="1"/>
        <v>-1.7380460835767941</v>
      </c>
      <c r="O189" s="22">
        <f t="shared" si="2"/>
        <v>34.023332138559098</v>
      </c>
    </row>
    <row r="190" spans="1:15" ht="16">
      <c r="A190" s="13" t="s">
        <v>50</v>
      </c>
      <c r="B190" s="13" t="s">
        <v>51</v>
      </c>
      <c r="C190" s="65" t="s">
        <v>75</v>
      </c>
      <c r="D190" s="13">
        <v>59.2</v>
      </c>
      <c r="E190" s="13" t="s">
        <v>28</v>
      </c>
      <c r="F190" s="13">
        <v>49</v>
      </c>
      <c r="G190" s="13">
        <v>140</v>
      </c>
      <c r="H190" s="13">
        <v>72.163700000000006</v>
      </c>
      <c r="I190" s="13">
        <v>69</v>
      </c>
      <c r="J190" s="13">
        <v>16.376999999999999</v>
      </c>
      <c r="K190" s="45">
        <v>53.4116</v>
      </c>
      <c r="L190" s="45">
        <v>153.291</v>
      </c>
      <c r="M190" s="22">
        <f t="shared" si="0"/>
        <v>0.50060372809608389</v>
      </c>
      <c r="N190" s="22">
        <f t="shared" si="1"/>
        <v>-1.7380460835767941</v>
      </c>
      <c r="O190" s="22">
        <f t="shared" si="2"/>
        <v>34.387371169630583</v>
      </c>
    </row>
    <row r="191" spans="1:15" ht="16">
      <c r="A191" s="13" t="s">
        <v>50</v>
      </c>
      <c r="B191" s="13" t="s">
        <v>51</v>
      </c>
      <c r="C191" s="65" t="s">
        <v>75</v>
      </c>
      <c r="D191" s="13">
        <v>59.2</v>
      </c>
      <c r="E191" s="13" t="s">
        <v>29</v>
      </c>
      <c r="F191" s="13">
        <v>49</v>
      </c>
      <c r="G191" s="13">
        <v>137</v>
      </c>
      <c r="H191" s="13">
        <v>72.385499999999993</v>
      </c>
      <c r="I191" s="13">
        <v>69</v>
      </c>
      <c r="J191" s="13">
        <v>16.527899999999999</v>
      </c>
      <c r="K191" s="45">
        <v>53.4116</v>
      </c>
      <c r="L191" s="45">
        <v>153.291</v>
      </c>
      <c r="M191" s="22">
        <f t="shared" si="0"/>
        <v>0.50060372809608389</v>
      </c>
      <c r="N191" s="22">
        <f t="shared" si="1"/>
        <v>-1.7380460835767941</v>
      </c>
      <c r="O191" s="22">
        <f t="shared" si="2"/>
        <v>34.498405076522289</v>
      </c>
    </row>
    <row r="192" spans="1:15" ht="16">
      <c r="A192" s="13" t="s">
        <v>50</v>
      </c>
      <c r="B192" s="13" t="s">
        <v>51</v>
      </c>
      <c r="C192" s="65" t="s">
        <v>75</v>
      </c>
      <c r="D192" s="13">
        <v>59.2</v>
      </c>
      <c r="E192" s="13" t="s">
        <v>30</v>
      </c>
      <c r="F192" s="13">
        <v>49</v>
      </c>
      <c r="G192" s="13">
        <v>145</v>
      </c>
      <c r="H192" s="13">
        <v>72.999499999999998</v>
      </c>
      <c r="I192" s="13">
        <v>70</v>
      </c>
      <c r="J192" s="13">
        <v>16.937100000000001</v>
      </c>
      <c r="K192" s="45">
        <v>53.4116</v>
      </c>
      <c r="L192" s="45">
        <v>153.291</v>
      </c>
      <c r="M192" s="22">
        <f t="shared" si="0"/>
        <v>0.50060372809608389</v>
      </c>
      <c r="N192" s="22">
        <f t="shared" si="1"/>
        <v>-1.7380460835767941</v>
      </c>
      <c r="O192" s="22">
        <f t="shared" si="2"/>
        <v>34.805775765573287</v>
      </c>
    </row>
    <row r="193" spans="1:15" ht="16">
      <c r="A193" s="16" t="s">
        <v>50</v>
      </c>
      <c r="B193" s="16" t="s">
        <v>51</v>
      </c>
      <c r="C193" s="66" t="s">
        <v>75</v>
      </c>
      <c r="D193" s="16">
        <v>59.2</v>
      </c>
      <c r="E193" s="16" t="s">
        <v>53</v>
      </c>
      <c r="F193" s="16">
        <v>52</v>
      </c>
      <c r="G193" s="16">
        <v>175</v>
      </c>
      <c r="H193" s="16">
        <v>81.777699999999996</v>
      </c>
      <c r="I193" s="16">
        <v>77</v>
      </c>
      <c r="J193" s="16">
        <v>21.9541</v>
      </c>
      <c r="K193" s="45">
        <v>53.4116</v>
      </c>
      <c r="L193" s="45">
        <v>153.291</v>
      </c>
      <c r="M193" s="22">
        <f t="shared" si="0"/>
        <v>0.50060372809608389</v>
      </c>
      <c r="N193" s="22">
        <f t="shared" si="1"/>
        <v>-1.7380460835767941</v>
      </c>
      <c r="O193" s="22">
        <f t="shared" si="2"/>
        <v>39.200175411546326</v>
      </c>
    </row>
    <row r="194" spans="1:15" ht="16">
      <c r="A194" s="16" t="s">
        <v>50</v>
      </c>
      <c r="B194" s="16" t="s">
        <v>51</v>
      </c>
      <c r="C194" s="66" t="s">
        <v>75</v>
      </c>
      <c r="D194" s="16">
        <v>59.2</v>
      </c>
      <c r="E194" s="16" t="s">
        <v>32</v>
      </c>
      <c r="F194" s="16">
        <v>52</v>
      </c>
      <c r="G194" s="16">
        <v>170</v>
      </c>
      <c r="H194" s="16">
        <v>82.771000000000001</v>
      </c>
      <c r="I194" s="16">
        <v>77</v>
      </c>
      <c r="J194" s="16">
        <v>23.315899999999999</v>
      </c>
      <c r="K194" s="45">
        <v>53.4116</v>
      </c>
      <c r="L194" s="45">
        <v>153.291</v>
      </c>
      <c r="M194" s="22">
        <f t="shared" si="0"/>
        <v>0.50060372809608389</v>
      </c>
      <c r="N194" s="22">
        <f t="shared" si="1"/>
        <v>-1.7380460835767941</v>
      </c>
      <c r="O194" s="22">
        <f t="shared" si="2"/>
        <v>39.697425094664169</v>
      </c>
    </row>
    <row r="195" spans="1:15" ht="16">
      <c r="A195" s="16" t="s">
        <v>50</v>
      </c>
      <c r="B195" s="16" t="s">
        <v>51</v>
      </c>
      <c r="C195" s="66" t="s">
        <v>75</v>
      </c>
      <c r="D195" s="16">
        <v>59.2</v>
      </c>
      <c r="E195" s="16" t="s">
        <v>33</v>
      </c>
      <c r="F195" s="16">
        <v>52</v>
      </c>
      <c r="G195" s="16">
        <v>183</v>
      </c>
      <c r="H195" s="16">
        <v>85.857699999999994</v>
      </c>
      <c r="I195" s="16">
        <v>80</v>
      </c>
      <c r="J195" s="16">
        <v>25.873699999999999</v>
      </c>
      <c r="K195" s="45">
        <v>53.4116</v>
      </c>
      <c r="L195" s="45">
        <v>153.291</v>
      </c>
      <c r="M195" s="22">
        <f t="shared" si="0"/>
        <v>0.50060372809608389</v>
      </c>
      <c r="N195" s="22">
        <f t="shared" si="1"/>
        <v>-1.7380460835767941</v>
      </c>
      <c r="O195" s="22">
        <f t="shared" si="2"/>
        <v>41.242638622178347</v>
      </c>
    </row>
    <row r="196" spans="1:15" ht="16">
      <c r="A196" s="16" t="s">
        <v>50</v>
      </c>
      <c r="B196" s="16" t="s">
        <v>51</v>
      </c>
      <c r="C196" s="66" t="s">
        <v>75</v>
      </c>
      <c r="D196" s="16">
        <v>59.2</v>
      </c>
      <c r="E196" s="16" t="s">
        <v>34</v>
      </c>
      <c r="F196" s="16">
        <v>52</v>
      </c>
      <c r="G196" s="16">
        <v>197</v>
      </c>
      <c r="H196" s="16">
        <v>86.185100000000006</v>
      </c>
      <c r="I196" s="16">
        <v>80</v>
      </c>
      <c r="J196" s="16">
        <v>26.316600000000001</v>
      </c>
      <c r="K196" s="45">
        <v>53.4116</v>
      </c>
      <c r="L196" s="45">
        <v>153.291</v>
      </c>
      <c r="M196" s="22">
        <f t="shared" si="0"/>
        <v>0.50060372809608389</v>
      </c>
      <c r="N196" s="22">
        <f t="shared" si="1"/>
        <v>-1.7380460835767941</v>
      </c>
      <c r="O196" s="22">
        <f t="shared" si="2"/>
        <v>41.406536282757003</v>
      </c>
    </row>
    <row r="197" spans="1:15" ht="16">
      <c r="A197" s="16" t="s">
        <v>50</v>
      </c>
      <c r="B197" s="16" t="s">
        <v>51</v>
      </c>
      <c r="C197" s="66" t="s">
        <v>75</v>
      </c>
      <c r="D197" s="16">
        <v>59.2</v>
      </c>
      <c r="E197" s="16" t="s">
        <v>35</v>
      </c>
      <c r="F197" s="16">
        <v>52</v>
      </c>
      <c r="G197" s="16">
        <v>210</v>
      </c>
      <c r="H197" s="16">
        <v>88.219499999999996</v>
      </c>
      <c r="I197" s="16">
        <v>84</v>
      </c>
      <c r="J197" s="16">
        <v>26.154399999999999</v>
      </c>
      <c r="K197" s="45">
        <v>53.4116</v>
      </c>
      <c r="L197" s="45">
        <v>153.291</v>
      </c>
      <c r="M197" s="22">
        <f t="shared" si="0"/>
        <v>0.50060372809608389</v>
      </c>
      <c r="N197" s="22">
        <f t="shared" si="1"/>
        <v>-1.7380460835767941</v>
      </c>
      <c r="O197" s="22">
        <f t="shared" si="2"/>
        <v>42.424964507195682</v>
      </c>
    </row>
    <row r="198" spans="1:15" ht="16">
      <c r="A198" s="6" t="s">
        <v>50</v>
      </c>
      <c r="B198" s="6" t="s">
        <v>54</v>
      </c>
      <c r="C198" s="64" t="s">
        <v>74</v>
      </c>
      <c r="D198" s="6">
        <v>55</v>
      </c>
      <c r="E198" s="6" t="s">
        <v>21</v>
      </c>
      <c r="F198" s="6">
        <v>48</v>
      </c>
      <c r="G198" s="6">
        <v>189</v>
      </c>
      <c r="H198" s="6">
        <v>83.640199999999993</v>
      </c>
      <c r="I198" s="6">
        <v>79</v>
      </c>
      <c r="J198" s="6">
        <v>25.7239</v>
      </c>
      <c r="K198" s="45">
        <v>53.4116</v>
      </c>
      <c r="L198" s="45">
        <v>153.291</v>
      </c>
      <c r="M198" s="22">
        <f t="shared" si="0"/>
        <v>0.50060372809608389</v>
      </c>
      <c r="N198" s="22">
        <f t="shared" si="1"/>
        <v>-1.7380460835767941</v>
      </c>
      <c r="O198" s="22">
        <f t="shared" si="2"/>
        <v>40.132549855125276</v>
      </c>
    </row>
    <row r="199" spans="1:15" ht="16">
      <c r="A199" s="6" t="s">
        <v>50</v>
      </c>
      <c r="B199" s="6" t="s">
        <v>54</v>
      </c>
      <c r="C199" s="64" t="s">
        <v>74</v>
      </c>
      <c r="D199" s="6">
        <v>55</v>
      </c>
      <c r="E199" s="6" t="s">
        <v>22</v>
      </c>
      <c r="F199" s="6">
        <v>48</v>
      </c>
      <c r="G199" s="6">
        <v>189</v>
      </c>
      <c r="H199" s="6">
        <v>83.411600000000007</v>
      </c>
      <c r="I199" s="6">
        <v>78</v>
      </c>
      <c r="J199" s="6">
        <v>26.044899999999998</v>
      </c>
      <c r="K199" s="45">
        <v>53.4116</v>
      </c>
      <c r="L199" s="45">
        <v>153.291</v>
      </c>
      <c r="M199" s="22">
        <f t="shared" si="0"/>
        <v>0.50060372809608389</v>
      </c>
      <c r="N199" s="22">
        <f t="shared" si="1"/>
        <v>-1.7380460835767941</v>
      </c>
      <c r="O199" s="22">
        <f t="shared" si="2"/>
        <v>40.018111842882519</v>
      </c>
    </row>
    <row r="200" spans="1:15" ht="16">
      <c r="A200" s="6" t="s">
        <v>50</v>
      </c>
      <c r="B200" s="6" t="s">
        <v>54</v>
      </c>
      <c r="C200" s="64" t="s">
        <v>74</v>
      </c>
      <c r="D200" s="6">
        <v>55</v>
      </c>
      <c r="E200" s="6" t="s">
        <v>23</v>
      </c>
      <c r="F200" s="6">
        <v>48</v>
      </c>
      <c r="G200" s="6">
        <v>189</v>
      </c>
      <c r="H200" s="6">
        <v>81.711399999999998</v>
      </c>
      <c r="I200" s="6">
        <v>77</v>
      </c>
      <c r="J200" s="6">
        <v>24.763100000000001</v>
      </c>
      <c r="K200" s="45">
        <v>53.4116</v>
      </c>
      <c r="L200" s="45">
        <v>153.291</v>
      </c>
      <c r="M200" s="22">
        <f t="shared" si="0"/>
        <v>0.50060372809608389</v>
      </c>
      <c r="N200" s="22">
        <f t="shared" si="1"/>
        <v>-1.7380460835767941</v>
      </c>
      <c r="O200" s="22">
        <f t="shared" si="2"/>
        <v>39.166985384373547</v>
      </c>
    </row>
    <row r="201" spans="1:15" ht="16">
      <c r="A201" s="6" t="s">
        <v>50</v>
      </c>
      <c r="B201" s="6" t="s">
        <v>54</v>
      </c>
      <c r="C201" s="64" t="s">
        <v>74</v>
      </c>
      <c r="D201" s="6">
        <v>55</v>
      </c>
      <c r="E201" s="6" t="s">
        <v>24</v>
      </c>
      <c r="F201" s="6">
        <v>48</v>
      </c>
      <c r="G201" s="6">
        <v>171</v>
      </c>
      <c r="H201" s="6">
        <v>78.404799999999994</v>
      </c>
      <c r="I201" s="6">
        <v>73</v>
      </c>
      <c r="J201" s="6">
        <v>23.062799999999999</v>
      </c>
      <c r="K201" s="45">
        <v>53.4116</v>
      </c>
      <c r="L201" s="45">
        <v>153.291</v>
      </c>
      <c r="M201" s="22">
        <f t="shared" si="0"/>
        <v>0.50060372809608389</v>
      </c>
      <c r="N201" s="22">
        <f t="shared" si="1"/>
        <v>-1.7380460835767941</v>
      </c>
      <c r="O201" s="22">
        <f t="shared" si="2"/>
        <v>37.511689097051047</v>
      </c>
    </row>
    <row r="202" spans="1:15" ht="16">
      <c r="A202" s="6" t="s">
        <v>50</v>
      </c>
      <c r="B202" s="6" t="s">
        <v>54</v>
      </c>
      <c r="C202" s="64" t="s">
        <v>74</v>
      </c>
      <c r="D202" s="6">
        <v>55</v>
      </c>
      <c r="E202" s="6" t="s">
        <v>25</v>
      </c>
      <c r="F202" s="6">
        <v>48</v>
      </c>
      <c r="G202" s="6">
        <v>172</v>
      </c>
      <c r="H202" s="6">
        <v>78.885599999999997</v>
      </c>
      <c r="I202" s="6">
        <v>75</v>
      </c>
      <c r="J202" s="6">
        <v>22.331900000000001</v>
      </c>
      <c r="K202" s="45">
        <v>53.4116</v>
      </c>
      <c r="L202" s="45">
        <v>153.291</v>
      </c>
      <c r="M202" s="22">
        <f t="shared" si="0"/>
        <v>0.50060372809608389</v>
      </c>
      <c r="N202" s="22">
        <f t="shared" si="1"/>
        <v>-1.7380460835767941</v>
      </c>
      <c r="O202" s="22">
        <f t="shared" si="2"/>
        <v>37.752379369519645</v>
      </c>
    </row>
    <row r="203" spans="1:15" ht="16">
      <c r="A203" s="13" t="s">
        <v>50</v>
      </c>
      <c r="B203" s="13" t="s">
        <v>54</v>
      </c>
      <c r="C203" s="65" t="s">
        <v>74</v>
      </c>
      <c r="D203" s="13">
        <v>55</v>
      </c>
      <c r="E203" s="13" t="s">
        <v>52</v>
      </c>
      <c r="F203" s="13">
        <v>55</v>
      </c>
      <c r="G203" s="13">
        <v>164</v>
      </c>
      <c r="H203" s="13">
        <v>79.035600000000002</v>
      </c>
      <c r="I203" s="13">
        <v>76</v>
      </c>
      <c r="J203" s="13">
        <v>17.000499999999999</v>
      </c>
      <c r="K203" s="45">
        <v>53.4116</v>
      </c>
      <c r="L203" s="45">
        <v>153.291</v>
      </c>
      <c r="M203" s="22">
        <f t="shared" si="0"/>
        <v>0.50060372809608389</v>
      </c>
      <c r="N203" s="22">
        <f t="shared" si="1"/>
        <v>-1.7380460835767941</v>
      </c>
      <c r="O203" s="22">
        <f t="shared" si="2"/>
        <v>37.827469928734061</v>
      </c>
    </row>
    <row r="204" spans="1:15" ht="16">
      <c r="A204" s="13" t="s">
        <v>50</v>
      </c>
      <c r="B204" s="13" t="s">
        <v>54</v>
      </c>
      <c r="C204" s="65" t="s">
        <v>74</v>
      </c>
      <c r="D204" s="13">
        <v>55</v>
      </c>
      <c r="E204" s="13" t="s">
        <v>27</v>
      </c>
      <c r="F204" s="13">
        <v>55</v>
      </c>
      <c r="G204" s="13">
        <v>147</v>
      </c>
      <c r="H204" s="13">
        <v>78.042100000000005</v>
      </c>
      <c r="I204" s="13">
        <v>75</v>
      </c>
      <c r="J204" s="13">
        <v>16.5059</v>
      </c>
      <c r="K204" s="45">
        <v>53.4116</v>
      </c>
      <c r="L204" s="45">
        <v>153.291</v>
      </c>
      <c r="M204" s="22">
        <f t="shared" si="0"/>
        <v>0.50060372809608389</v>
      </c>
      <c r="N204" s="22">
        <f t="shared" si="1"/>
        <v>-1.7380460835767941</v>
      </c>
      <c r="O204" s="22">
        <f t="shared" si="2"/>
        <v>37.330120124870604</v>
      </c>
    </row>
    <row r="205" spans="1:15" ht="16">
      <c r="A205" s="13" t="s">
        <v>50</v>
      </c>
      <c r="B205" s="13" t="s">
        <v>54</v>
      </c>
      <c r="C205" s="65" t="s">
        <v>74</v>
      </c>
      <c r="D205" s="13">
        <v>55</v>
      </c>
      <c r="E205" s="13" t="s">
        <v>28</v>
      </c>
      <c r="F205" s="13">
        <v>55</v>
      </c>
      <c r="G205" s="13">
        <v>152</v>
      </c>
      <c r="H205" s="13">
        <v>77.446899999999999</v>
      </c>
      <c r="I205" s="13">
        <v>74</v>
      </c>
      <c r="J205" s="13">
        <v>15.947800000000001</v>
      </c>
      <c r="K205" s="45">
        <v>53.4116</v>
      </c>
      <c r="L205" s="45">
        <v>153.291</v>
      </c>
      <c r="M205" s="22">
        <f t="shared" si="0"/>
        <v>0.50060372809608389</v>
      </c>
      <c r="N205" s="22">
        <f t="shared" si="1"/>
        <v>-1.7380460835767941</v>
      </c>
      <c r="O205" s="22">
        <f t="shared" si="2"/>
        <v>37.032160785907806</v>
      </c>
    </row>
    <row r="206" spans="1:15" ht="16">
      <c r="A206" s="13" t="s">
        <v>50</v>
      </c>
      <c r="B206" s="13" t="s">
        <v>54</v>
      </c>
      <c r="C206" s="65" t="s">
        <v>74</v>
      </c>
      <c r="D206" s="13">
        <v>55</v>
      </c>
      <c r="E206" s="13" t="s">
        <v>29</v>
      </c>
      <c r="F206" s="13">
        <v>55</v>
      </c>
      <c r="G206" s="13">
        <v>148</v>
      </c>
      <c r="H206" s="13">
        <v>76.807500000000005</v>
      </c>
      <c r="I206" s="13">
        <v>73</v>
      </c>
      <c r="J206" s="13">
        <v>15.6919</v>
      </c>
      <c r="K206" s="45">
        <v>53.4116</v>
      </c>
      <c r="L206" s="45">
        <v>153.291</v>
      </c>
      <c r="M206" s="22">
        <f t="shared" si="0"/>
        <v>0.50060372809608389</v>
      </c>
      <c r="N206" s="22">
        <f t="shared" si="1"/>
        <v>-1.7380460835767941</v>
      </c>
      <c r="O206" s="22">
        <f t="shared" si="2"/>
        <v>36.712074762163169</v>
      </c>
    </row>
    <row r="207" spans="1:15" ht="16">
      <c r="A207" s="13" t="s">
        <v>50</v>
      </c>
      <c r="B207" s="13" t="s">
        <v>54</v>
      </c>
      <c r="C207" s="65" t="s">
        <v>74</v>
      </c>
      <c r="D207" s="13">
        <v>55</v>
      </c>
      <c r="E207" s="13" t="s">
        <v>30</v>
      </c>
      <c r="F207" s="13">
        <v>55</v>
      </c>
      <c r="G207" s="13">
        <v>141</v>
      </c>
      <c r="H207" s="13">
        <v>74.838399999999993</v>
      </c>
      <c r="I207" s="13">
        <v>72</v>
      </c>
      <c r="J207" s="13">
        <v>14.1966</v>
      </c>
      <c r="K207" s="45">
        <v>53.4116</v>
      </c>
      <c r="L207" s="45">
        <v>153.291</v>
      </c>
      <c r="M207" s="22">
        <f t="shared" si="0"/>
        <v>0.50060372809608389</v>
      </c>
      <c r="N207" s="22">
        <f t="shared" si="1"/>
        <v>-1.7380460835767941</v>
      </c>
      <c r="O207" s="22">
        <f t="shared" si="2"/>
        <v>35.72633596116917</v>
      </c>
    </row>
    <row r="208" spans="1:15" ht="16">
      <c r="A208" s="16" t="s">
        <v>50</v>
      </c>
      <c r="B208" s="16" t="s">
        <v>54</v>
      </c>
      <c r="C208" s="66" t="s">
        <v>74</v>
      </c>
      <c r="D208" s="16">
        <v>55</v>
      </c>
      <c r="E208" s="16" t="s">
        <v>31</v>
      </c>
      <c r="F208" s="16">
        <v>45</v>
      </c>
      <c r="G208" s="16">
        <v>151</v>
      </c>
      <c r="H208" s="16">
        <v>70.830699999999993</v>
      </c>
      <c r="I208" s="16">
        <v>67</v>
      </c>
      <c r="J208" s="16">
        <v>18.800699999999999</v>
      </c>
      <c r="K208" s="45">
        <v>53.4116</v>
      </c>
      <c r="L208" s="45">
        <v>153.291</v>
      </c>
      <c r="M208" s="22">
        <f t="shared" si="0"/>
        <v>0.50060372809608389</v>
      </c>
      <c r="N208" s="22">
        <f t="shared" si="1"/>
        <v>-1.7380460835767941</v>
      </c>
      <c r="O208" s="22">
        <f t="shared" si="2"/>
        <v>33.720066400078494</v>
      </c>
    </row>
    <row r="209" spans="1:15" ht="16">
      <c r="A209" s="16" t="s">
        <v>50</v>
      </c>
      <c r="B209" s="16" t="s">
        <v>54</v>
      </c>
      <c r="C209" s="66" t="s">
        <v>74</v>
      </c>
      <c r="D209" s="16">
        <v>55</v>
      </c>
      <c r="E209" s="16" t="s">
        <v>32</v>
      </c>
      <c r="F209" s="16">
        <v>45</v>
      </c>
      <c r="G209" s="16">
        <v>154</v>
      </c>
      <c r="H209" s="16">
        <v>72.120800000000003</v>
      </c>
      <c r="I209" s="16">
        <v>68</v>
      </c>
      <c r="J209" s="16">
        <v>19.667200000000001</v>
      </c>
      <c r="K209" s="45">
        <v>53.4116</v>
      </c>
      <c r="L209" s="45">
        <v>153.291</v>
      </c>
      <c r="M209" s="22">
        <f t="shared" si="0"/>
        <v>0.50060372809608389</v>
      </c>
      <c r="N209" s="22">
        <f t="shared" si="1"/>
        <v>-1.7380460835767941</v>
      </c>
      <c r="O209" s="22">
        <f t="shared" si="2"/>
        <v>34.365895269695258</v>
      </c>
    </row>
    <row r="210" spans="1:15" ht="16">
      <c r="A210" s="16" t="s">
        <v>50</v>
      </c>
      <c r="B210" s="16" t="s">
        <v>54</v>
      </c>
      <c r="C210" s="66" t="s">
        <v>74</v>
      </c>
      <c r="D210" s="16">
        <v>55</v>
      </c>
      <c r="E210" s="16" t="s">
        <v>33</v>
      </c>
      <c r="F210" s="16">
        <v>45</v>
      </c>
      <c r="G210" s="16">
        <v>149</v>
      </c>
      <c r="H210" s="16">
        <v>72.639300000000006</v>
      </c>
      <c r="I210" s="16">
        <v>69</v>
      </c>
      <c r="J210" s="16">
        <v>19.947299999999998</v>
      </c>
      <c r="K210" s="45">
        <v>53.4116</v>
      </c>
      <c r="L210" s="45">
        <v>153.291</v>
      </c>
      <c r="M210" s="22">
        <f t="shared" si="0"/>
        <v>0.50060372809608389</v>
      </c>
      <c r="N210" s="22">
        <f t="shared" si="1"/>
        <v>-1.7380460835767941</v>
      </c>
      <c r="O210" s="22">
        <f t="shared" si="2"/>
        <v>34.625458302713071</v>
      </c>
    </row>
    <row r="211" spans="1:15" ht="16">
      <c r="A211" s="16" t="s">
        <v>50</v>
      </c>
      <c r="B211" s="16" t="s">
        <v>54</v>
      </c>
      <c r="C211" s="66" t="s">
        <v>74</v>
      </c>
      <c r="D211" s="16">
        <v>55</v>
      </c>
      <c r="E211" s="16" t="s">
        <v>34</v>
      </c>
      <c r="F211" s="16">
        <v>45</v>
      </c>
      <c r="G211" s="16">
        <v>152</v>
      </c>
      <c r="H211" s="16">
        <v>73.275099999999995</v>
      </c>
      <c r="I211" s="16">
        <v>69</v>
      </c>
      <c r="J211" s="16">
        <v>20.666599999999999</v>
      </c>
      <c r="K211" s="45">
        <v>53.4116</v>
      </c>
      <c r="L211" s="45">
        <v>153.291</v>
      </c>
      <c r="M211" s="22">
        <f t="shared" si="0"/>
        <v>0.50060372809608389</v>
      </c>
      <c r="N211" s="22">
        <f t="shared" si="1"/>
        <v>-1.7380460835767941</v>
      </c>
      <c r="O211" s="22">
        <f t="shared" si="2"/>
        <v>34.943742153036567</v>
      </c>
    </row>
    <row r="212" spans="1:15" ht="16">
      <c r="A212" s="16" t="s">
        <v>50</v>
      </c>
      <c r="B212" s="16" t="s">
        <v>54</v>
      </c>
      <c r="C212" s="66" t="s">
        <v>74</v>
      </c>
      <c r="D212" s="16">
        <v>55</v>
      </c>
      <c r="E212" s="16" t="s">
        <v>35</v>
      </c>
      <c r="F212" s="16">
        <v>45</v>
      </c>
      <c r="G212" s="16">
        <v>155</v>
      </c>
      <c r="H212" s="16">
        <v>74.461500000000001</v>
      </c>
      <c r="I212" s="16">
        <v>70</v>
      </c>
      <c r="J212" s="16">
        <v>21.6998</v>
      </c>
      <c r="K212" s="45">
        <v>53.4116</v>
      </c>
      <c r="L212" s="45">
        <v>153.291</v>
      </c>
      <c r="M212" s="22">
        <f t="shared" si="0"/>
        <v>0.50060372809608389</v>
      </c>
      <c r="N212" s="22">
        <f t="shared" si="1"/>
        <v>-1.7380460835767941</v>
      </c>
      <c r="O212" s="22">
        <f t="shared" si="2"/>
        <v>35.537658416049752</v>
      </c>
    </row>
    <row r="213" spans="1:15" ht="16">
      <c r="A213" s="6" t="s">
        <v>55</v>
      </c>
      <c r="B213" s="6" t="s">
        <v>56</v>
      </c>
      <c r="C213" s="64" t="s">
        <v>76</v>
      </c>
      <c r="D213" s="6">
        <v>91</v>
      </c>
      <c r="E213" s="6" t="s">
        <v>21</v>
      </c>
      <c r="F213" s="6">
        <v>63</v>
      </c>
      <c r="G213" s="6">
        <v>243</v>
      </c>
      <c r="H213" s="6">
        <v>113.825</v>
      </c>
      <c r="I213" s="6">
        <v>109</v>
      </c>
      <c r="J213" s="6">
        <v>34.669499999999999</v>
      </c>
      <c r="K213" s="8">
        <v>56.976599999999998</v>
      </c>
      <c r="L213" s="8">
        <v>158.16200000000001</v>
      </c>
      <c r="M213" s="22">
        <f t="shared" si="0"/>
        <v>0.49414243556876775</v>
      </c>
      <c r="N213" s="22">
        <f t="shared" si="1"/>
        <v>-3.1545558944274497</v>
      </c>
      <c r="O213" s="22">
        <f t="shared" si="2"/>
        <v>53.091206834187545</v>
      </c>
    </row>
    <row r="214" spans="1:15" ht="16">
      <c r="A214" s="6" t="s">
        <v>55</v>
      </c>
      <c r="B214" s="6" t="s">
        <v>56</v>
      </c>
      <c r="C214" s="64" t="s">
        <v>76</v>
      </c>
      <c r="D214" s="6">
        <v>91</v>
      </c>
      <c r="E214" s="6" t="s">
        <v>22</v>
      </c>
      <c r="F214" s="6">
        <v>63</v>
      </c>
      <c r="G214" s="6">
        <v>224</v>
      </c>
      <c r="H214" s="6">
        <v>113.271</v>
      </c>
      <c r="I214" s="6">
        <v>108</v>
      </c>
      <c r="J214" s="6">
        <v>34.428400000000003</v>
      </c>
      <c r="K214" s="8">
        <v>56.976599999999998</v>
      </c>
      <c r="L214" s="8">
        <v>158.16200000000001</v>
      </c>
      <c r="M214" s="22">
        <f t="shared" si="0"/>
        <v>0.49414243556876775</v>
      </c>
      <c r="N214" s="22">
        <f t="shared" si="1"/>
        <v>-3.1545558944274497</v>
      </c>
      <c r="O214" s="22">
        <f t="shared" si="2"/>
        <v>52.817451924882448</v>
      </c>
    </row>
    <row r="215" spans="1:15" ht="16">
      <c r="A215" s="6" t="s">
        <v>55</v>
      </c>
      <c r="B215" s="6" t="s">
        <v>56</v>
      </c>
      <c r="C215" s="64" t="s">
        <v>76</v>
      </c>
      <c r="D215" s="6">
        <v>91</v>
      </c>
      <c r="E215" s="6" t="s">
        <v>23</v>
      </c>
      <c r="F215" s="6">
        <v>63</v>
      </c>
      <c r="G215" s="6">
        <v>205</v>
      </c>
      <c r="H215" s="6">
        <v>106.08</v>
      </c>
      <c r="I215" s="6">
        <v>102</v>
      </c>
      <c r="J215" s="6">
        <v>29.610800000000001</v>
      </c>
      <c r="K215" s="8">
        <v>56.976599999999998</v>
      </c>
      <c r="L215" s="8">
        <v>158.16200000000001</v>
      </c>
      <c r="M215" s="22">
        <f t="shared" si="0"/>
        <v>0.49414243556876775</v>
      </c>
      <c r="N215" s="22">
        <f t="shared" si="1"/>
        <v>-3.1545558944274497</v>
      </c>
      <c r="O215" s="22">
        <f t="shared" si="2"/>
        <v>49.264073670707432</v>
      </c>
    </row>
    <row r="216" spans="1:15" ht="16">
      <c r="A216" s="6" t="s">
        <v>55</v>
      </c>
      <c r="B216" s="6" t="s">
        <v>56</v>
      </c>
      <c r="C216" s="64" t="s">
        <v>76</v>
      </c>
      <c r="D216" s="6">
        <v>91</v>
      </c>
      <c r="E216" s="6" t="s">
        <v>24</v>
      </c>
      <c r="F216" s="6">
        <v>63</v>
      </c>
      <c r="G216" s="6">
        <v>199</v>
      </c>
      <c r="H216" s="6">
        <v>102.172</v>
      </c>
      <c r="I216" s="6">
        <v>96</v>
      </c>
      <c r="J216" s="6">
        <v>28.1571</v>
      </c>
      <c r="K216" s="8">
        <v>56.976599999999998</v>
      </c>
      <c r="L216" s="8">
        <v>158.16200000000001</v>
      </c>
      <c r="M216" s="22">
        <f t="shared" si="0"/>
        <v>0.49414243556876775</v>
      </c>
      <c r="N216" s="22">
        <f t="shared" si="1"/>
        <v>-3.1545558944274497</v>
      </c>
      <c r="O216" s="22">
        <f t="shared" si="2"/>
        <v>47.332965032504688</v>
      </c>
    </row>
    <row r="217" spans="1:15" ht="16">
      <c r="A217" s="6" t="s">
        <v>55</v>
      </c>
      <c r="B217" s="6" t="s">
        <v>56</v>
      </c>
      <c r="C217" s="64" t="s">
        <v>76</v>
      </c>
      <c r="D217" s="6">
        <v>91</v>
      </c>
      <c r="E217" s="6" t="s">
        <v>25</v>
      </c>
      <c r="F217" s="6">
        <v>63</v>
      </c>
      <c r="G217" s="6">
        <v>204</v>
      </c>
      <c r="H217" s="6">
        <v>104.40600000000001</v>
      </c>
      <c r="I217" s="6">
        <v>99</v>
      </c>
      <c r="J217" s="6">
        <v>28.746200000000002</v>
      </c>
      <c r="K217" s="8">
        <v>56.976599999999998</v>
      </c>
      <c r="L217" s="8">
        <v>158.16200000000001</v>
      </c>
      <c r="M217" s="22">
        <f t="shared" si="0"/>
        <v>0.49414243556876775</v>
      </c>
      <c r="N217" s="22">
        <f t="shared" si="1"/>
        <v>-3.1545558944274497</v>
      </c>
      <c r="O217" s="22">
        <f t="shared" si="2"/>
        <v>48.436879233565321</v>
      </c>
    </row>
    <row r="218" spans="1:15" ht="16">
      <c r="A218" s="13" t="s">
        <v>55</v>
      </c>
      <c r="B218" s="13" t="s">
        <v>56</v>
      </c>
      <c r="C218" s="65" t="s">
        <v>76</v>
      </c>
      <c r="D218" s="13">
        <v>91</v>
      </c>
      <c r="E218" s="13" t="s">
        <v>52</v>
      </c>
      <c r="F218" s="46">
        <v>63</v>
      </c>
      <c r="G218" s="46">
        <v>184</v>
      </c>
      <c r="H218" s="46">
        <v>95.807500000000005</v>
      </c>
      <c r="I218" s="46">
        <v>92</v>
      </c>
      <c r="J218" s="46">
        <v>22.3675</v>
      </c>
      <c r="K218" s="8">
        <v>56.976599999999998</v>
      </c>
      <c r="L218" s="8">
        <v>158.16200000000001</v>
      </c>
      <c r="M218" s="22">
        <f t="shared" si="0"/>
        <v>0.49414243556876775</v>
      </c>
      <c r="N218" s="22">
        <f t="shared" si="1"/>
        <v>-3.1545558944274497</v>
      </c>
      <c r="O218" s="22">
        <f t="shared" si="2"/>
        <v>44.187995501327265</v>
      </c>
    </row>
    <row r="219" spans="1:15" ht="16">
      <c r="A219" s="13" t="s">
        <v>55</v>
      </c>
      <c r="B219" s="13" t="s">
        <v>56</v>
      </c>
      <c r="C219" s="65" t="s">
        <v>76</v>
      </c>
      <c r="D219" s="13">
        <v>91</v>
      </c>
      <c r="E219" s="13" t="s">
        <v>27</v>
      </c>
      <c r="F219" s="46">
        <v>63</v>
      </c>
      <c r="G219" s="46">
        <v>184</v>
      </c>
      <c r="H219" s="46">
        <v>95.509500000000003</v>
      </c>
      <c r="I219" s="46">
        <v>92</v>
      </c>
      <c r="J219" s="46">
        <v>22.5349</v>
      </c>
      <c r="K219" s="8">
        <v>56.976599999999998</v>
      </c>
      <c r="L219" s="8">
        <v>158.16200000000001</v>
      </c>
      <c r="M219" s="22">
        <f t="shared" si="0"/>
        <v>0.49414243556876775</v>
      </c>
      <c r="N219" s="22">
        <f t="shared" si="1"/>
        <v>-3.1545558944274497</v>
      </c>
      <c r="O219" s="22">
        <f t="shared" si="2"/>
        <v>44.040741055527775</v>
      </c>
    </row>
    <row r="220" spans="1:15" ht="16">
      <c r="A220" s="13" t="s">
        <v>55</v>
      </c>
      <c r="B220" s="13" t="s">
        <v>56</v>
      </c>
      <c r="C220" s="65" t="s">
        <v>76</v>
      </c>
      <c r="D220" s="13">
        <v>91</v>
      </c>
      <c r="E220" s="13" t="s">
        <v>28</v>
      </c>
      <c r="F220" s="46">
        <v>63</v>
      </c>
      <c r="G220" s="46">
        <v>184</v>
      </c>
      <c r="H220" s="46">
        <v>96.578500000000005</v>
      </c>
      <c r="I220" s="46">
        <v>93</v>
      </c>
      <c r="J220" s="46">
        <v>23.024999999999999</v>
      </c>
      <c r="K220" s="8">
        <v>56.976599999999998</v>
      </c>
      <c r="L220" s="8">
        <v>158.16200000000001</v>
      </c>
      <c r="M220" s="22">
        <f t="shared" si="0"/>
        <v>0.49414243556876775</v>
      </c>
      <c r="N220" s="22">
        <f t="shared" si="1"/>
        <v>-3.1545558944274497</v>
      </c>
      <c r="O220" s="22">
        <f t="shared" si="2"/>
        <v>44.568979319150785</v>
      </c>
    </row>
    <row r="221" spans="1:15" ht="16">
      <c r="A221" s="13" t="s">
        <v>55</v>
      </c>
      <c r="B221" s="13" t="s">
        <v>56</v>
      </c>
      <c r="C221" s="65" t="s">
        <v>76</v>
      </c>
      <c r="D221" s="13">
        <v>91</v>
      </c>
      <c r="E221" s="13" t="s">
        <v>29</v>
      </c>
      <c r="F221" s="46">
        <v>63</v>
      </c>
      <c r="G221" s="46">
        <v>185</v>
      </c>
      <c r="H221" s="46">
        <v>96.436199999999999</v>
      </c>
      <c r="I221" s="46">
        <v>92</v>
      </c>
      <c r="J221" s="46">
        <v>23.426600000000001</v>
      </c>
      <c r="K221" s="8">
        <v>56.976599999999998</v>
      </c>
      <c r="L221" s="8">
        <v>158.16200000000001</v>
      </c>
      <c r="M221" s="22">
        <f t="shared" si="0"/>
        <v>0.49414243556876775</v>
      </c>
      <c r="N221" s="22">
        <f t="shared" si="1"/>
        <v>-3.1545558944274497</v>
      </c>
      <c r="O221" s="22">
        <f t="shared" si="2"/>
        <v>44.498662850569346</v>
      </c>
    </row>
    <row r="222" spans="1:15" ht="16">
      <c r="A222" s="13" t="s">
        <v>55</v>
      </c>
      <c r="B222" s="13" t="s">
        <v>56</v>
      </c>
      <c r="C222" s="65" t="s">
        <v>76</v>
      </c>
      <c r="D222" s="13">
        <v>91</v>
      </c>
      <c r="E222" s="13" t="s">
        <v>30</v>
      </c>
      <c r="F222" s="46">
        <v>63</v>
      </c>
      <c r="G222" s="46">
        <v>188</v>
      </c>
      <c r="H222" s="46">
        <v>97.674700000000001</v>
      </c>
      <c r="I222" s="46">
        <v>94</v>
      </c>
      <c r="J222" s="46">
        <v>23.582100000000001</v>
      </c>
      <c r="K222" s="8">
        <v>56.976599999999998</v>
      </c>
      <c r="L222" s="8">
        <v>158.16200000000001</v>
      </c>
      <c r="M222" s="22">
        <f t="shared" si="0"/>
        <v>0.49414243556876775</v>
      </c>
      <c r="N222" s="22">
        <f t="shared" si="1"/>
        <v>-3.1545558944274497</v>
      </c>
      <c r="O222" s="22">
        <f t="shared" si="2"/>
        <v>45.110658257021271</v>
      </c>
    </row>
    <row r="223" spans="1:15" ht="16">
      <c r="A223" s="16" t="s">
        <v>55</v>
      </c>
      <c r="B223" s="16" t="s">
        <v>56</v>
      </c>
      <c r="C223" s="66" t="s">
        <v>76</v>
      </c>
      <c r="D223" s="16">
        <v>91</v>
      </c>
      <c r="E223" s="16" t="s">
        <v>53</v>
      </c>
      <c r="F223" s="16">
        <v>63</v>
      </c>
      <c r="G223" s="16">
        <v>213</v>
      </c>
      <c r="H223" s="16">
        <v>112.04900000000001</v>
      </c>
      <c r="I223" s="16">
        <v>108</v>
      </c>
      <c r="J223" s="16">
        <v>32.551699999999997</v>
      </c>
      <c r="K223" s="8">
        <v>56.976599999999998</v>
      </c>
      <c r="L223" s="8">
        <v>158.16200000000001</v>
      </c>
      <c r="M223" s="22">
        <f t="shared" si="0"/>
        <v>0.49414243556876775</v>
      </c>
      <c r="N223" s="22">
        <f t="shared" si="1"/>
        <v>-3.1545558944274497</v>
      </c>
      <c r="O223" s="22">
        <f t="shared" si="2"/>
        <v>52.213609868617411</v>
      </c>
    </row>
    <row r="224" spans="1:15" ht="16">
      <c r="A224" s="16" t="s">
        <v>55</v>
      </c>
      <c r="B224" s="16" t="s">
        <v>56</v>
      </c>
      <c r="C224" s="66" t="s">
        <v>76</v>
      </c>
      <c r="D224" s="16">
        <v>91</v>
      </c>
      <c r="E224" s="16" t="s">
        <v>32</v>
      </c>
      <c r="F224" s="16">
        <v>63</v>
      </c>
      <c r="G224" s="16">
        <v>215</v>
      </c>
      <c r="H224" s="16">
        <v>122.895</v>
      </c>
      <c r="I224" s="16">
        <v>109</v>
      </c>
      <c r="J224" s="16">
        <v>33.451999999999998</v>
      </c>
      <c r="K224" s="8">
        <v>56.976599999999998</v>
      </c>
      <c r="L224" s="8">
        <v>158.16200000000001</v>
      </c>
      <c r="M224" s="22">
        <f t="shared" si="0"/>
        <v>0.49414243556876775</v>
      </c>
      <c r="N224" s="22">
        <f t="shared" si="1"/>
        <v>-3.1545558944274497</v>
      </c>
      <c r="O224" s="22">
        <f t="shared" si="2"/>
        <v>57.573078724796261</v>
      </c>
    </row>
    <row r="225" spans="1:16" ht="16">
      <c r="A225" s="16" t="s">
        <v>55</v>
      </c>
      <c r="B225" s="16" t="s">
        <v>56</v>
      </c>
      <c r="C225" s="66" t="s">
        <v>76</v>
      </c>
      <c r="D225" s="16">
        <v>91</v>
      </c>
      <c r="E225" s="16" t="s">
        <v>33</v>
      </c>
      <c r="F225" s="16">
        <v>63</v>
      </c>
      <c r="G225" s="16">
        <v>218</v>
      </c>
      <c r="H225" s="16">
        <v>114.363</v>
      </c>
      <c r="I225" s="16">
        <v>110</v>
      </c>
      <c r="J225" s="16">
        <v>34.646799999999999</v>
      </c>
      <c r="K225" s="8">
        <v>56.976599999999998</v>
      </c>
      <c r="L225" s="8">
        <v>158.16200000000001</v>
      </c>
      <c r="M225" s="22">
        <f t="shared" si="0"/>
        <v>0.49414243556876775</v>
      </c>
      <c r="N225" s="22">
        <f t="shared" si="1"/>
        <v>-3.1545558944274497</v>
      </c>
      <c r="O225" s="22">
        <f t="shared" si="2"/>
        <v>53.35705546452354</v>
      </c>
    </row>
    <row r="226" spans="1:16" ht="16">
      <c r="A226" s="16" t="s">
        <v>55</v>
      </c>
      <c r="B226" s="16" t="s">
        <v>56</v>
      </c>
      <c r="C226" s="66" t="s">
        <v>76</v>
      </c>
      <c r="D226" s="16">
        <v>91</v>
      </c>
      <c r="E226" s="16" t="s">
        <v>34</v>
      </c>
      <c r="F226" s="16">
        <v>63</v>
      </c>
      <c r="G226" s="16">
        <v>222</v>
      </c>
      <c r="H226" s="16">
        <v>114.295</v>
      </c>
      <c r="I226" s="16">
        <v>109</v>
      </c>
      <c r="J226" s="16">
        <v>35.101509999999998</v>
      </c>
      <c r="K226" s="8">
        <v>56.976599999999998</v>
      </c>
      <c r="L226" s="8">
        <v>158.16200000000001</v>
      </c>
      <c r="M226" s="22">
        <f t="shared" si="0"/>
        <v>0.49414243556876775</v>
      </c>
      <c r="N226" s="22">
        <f t="shared" si="1"/>
        <v>-3.1545558944274497</v>
      </c>
      <c r="O226" s="22">
        <f t="shared" si="2"/>
        <v>53.323453778904863</v>
      </c>
    </row>
    <row r="227" spans="1:16" ht="16">
      <c r="A227" s="16" t="s">
        <v>55</v>
      </c>
      <c r="B227" s="16" t="s">
        <v>56</v>
      </c>
      <c r="C227" s="66" t="s">
        <v>76</v>
      </c>
      <c r="D227" s="16">
        <v>91</v>
      </c>
      <c r="E227" s="16" t="s">
        <v>35</v>
      </c>
      <c r="F227" s="16">
        <v>63</v>
      </c>
      <c r="G227" s="16">
        <v>222</v>
      </c>
      <c r="H227" s="16">
        <v>115.878</v>
      </c>
      <c r="I227" s="16">
        <v>112</v>
      </c>
      <c r="J227" s="16">
        <v>35.3185</v>
      </c>
      <c r="K227" s="8">
        <v>56.976599999999998</v>
      </c>
      <c r="L227" s="8">
        <v>158.16200000000001</v>
      </c>
      <c r="M227" s="22">
        <f t="shared" si="0"/>
        <v>0.49414243556876775</v>
      </c>
      <c r="N227" s="22">
        <f t="shared" si="1"/>
        <v>-3.1545558944274497</v>
      </c>
      <c r="O227" s="22">
        <f t="shared" si="2"/>
        <v>54.105681254410214</v>
      </c>
    </row>
    <row r="228" spans="1:16" ht="16">
      <c r="A228" s="6" t="s">
        <v>55</v>
      </c>
      <c r="B228" s="6" t="s">
        <v>57</v>
      </c>
      <c r="C228" s="64" t="s">
        <v>75</v>
      </c>
      <c r="D228" s="6">
        <v>65.099999999999994</v>
      </c>
      <c r="E228" s="6" t="s">
        <v>21</v>
      </c>
      <c r="F228" s="6">
        <v>68</v>
      </c>
      <c r="G228" s="6">
        <v>239</v>
      </c>
      <c r="H228" s="6">
        <v>121.402</v>
      </c>
      <c r="I228" s="6">
        <v>116</v>
      </c>
      <c r="J228" s="6">
        <v>36.121299999999998</v>
      </c>
      <c r="K228" s="8">
        <v>56.976599999999998</v>
      </c>
      <c r="L228" s="8">
        <v>158.16200000000001</v>
      </c>
      <c r="M228" s="22">
        <f t="shared" si="0"/>
        <v>0.49414243556876775</v>
      </c>
      <c r="N228" s="22">
        <f t="shared" si="1"/>
        <v>-3.1545558944274497</v>
      </c>
      <c r="O228" s="22">
        <f t="shared" si="2"/>
        <v>56.835324068492099</v>
      </c>
      <c r="P228" s="11"/>
    </row>
    <row r="229" spans="1:16" ht="16">
      <c r="A229" s="6" t="s">
        <v>55</v>
      </c>
      <c r="B229" s="6" t="s">
        <v>57</v>
      </c>
      <c r="C229" s="64" t="s">
        <v>75</v>
      </c>
      <c r="D229" s="6">
        <v>65.099999999999994</v>
      </c>
      <c r="E229" s="6" t="s">
        <v>22</v>
      </c>
      <c r="F229" s="6">
        <v>68</v>
      </c>
      <c r="G229" s="6">
        <v>239</v>
      </c>
      <c r="H229" s="6">
        <v>119.746</v>
      </c>
      <c r="I229" s="6">
        <v>114</v>
      </c>
      <c r="J229" s="6">
        <v>35.7712</v>
      </c>
      <c r="K229" s="8">
        <v>56.976599999999998</v>
      </c>
      <c r="L229" s="8">
        <v>158.16200000000001</v>
      </c>
      <c r="M229" s="22">
        <f t="shared" si="0"/>
        <v>0.49414243556876775</v>
      </c>
      <c r="N229" s="22">
        <f t="shared" si="1"/>
        <v>-3.1545558944274497</v>
      </c>
      <c r="O229" s="22">
        <f t="shared" si="2"/>
        <v>56.017024195190217</v>
      </c>
    </row>
    <row r="230" spans="1:16" ht="16">
      <c r="A230" s="6" t="s">
        <v>55</v>
      </c>
      <c r="B230" s="6" t="s">
        <v>57</v>
      </c>
      <c r="C230" s="64" t="s">
        <v>75</v>
      </c>
      <c r="D230" s="6">
        <v>65.099999999999994</v>
      </c>
      <c r="E230" s="6" t="s">
        <v>23</v>
      </c>
      <c r="F230" s="6">
        <v>68</v>
      </c>
      <c r="G230" s="6">
        <v>245</v>
      </c>
      <c r="H230" s="6">
        <v>115.72199999999999</v>
      </c>
      <c r="I230" s="6">
        <v>110</v>
      </c>
      <c r="J230" s="6">
        <v>33.418399999999998</v>
      </c>
      <c r="K230" s="8">
        <v>56.976599999999998</v>
      </c>
      <c r="L230" s="8">
        <v>158.16200000000001</v>
      </c>
      <c r="M230" s="22">
        <f t="shared" si="0"/>
        <v>0.49414243556876775</v>
      </c>
      <c r="N230" s="22">
        <f t="shared" si="1"/>
        <v>-3.1545558944274497</v>
      </c>
      <c r="O230" s="22">
        <f t="shared" si="2"/>
        <v>54.028595034461489</v>
      </c>
    </row>
    <row r="231" spans="1:16" ht="16">
      <c r="A231" s="6" t="s">
        <v>55</v>
      </c>
      <c r="B231" s="6" t="s">
        <v>57</v>
      </c>
      <c r="C231" s="64" t="s">
        <v>75</v>
      </c>
      <c r="D231" s="6">
        <v>65.099999999999994</v>
      </c>
      <c r="E231" s="6" t="s">
        <v>24</v>
      </c>
      <c r="F231" s="6">
        <v>68</v>
      </c>
      <c r="G231" s="6">
        <v>234</v>
      </c>
      <c r="H231" s="6">
        <v>112.21599999999999</v>
      </c>
      <c r="I231" s="6">
        <v>107</v>
      </c>
      <c r="J231" s="6">
        <v>31.466999999999999</v>
      </c>
      <c r="K231" s="8">
        <v>56.976599999999998</v>
      </c>
      <c r="L231" s="8">
        <v>158.16200000000001</v>
      </c>
      <c r="M231" s="22">
        <f t="shared" si="0"/>
        <v>0.49414243556876775</v>
      </c>
      <c r="N231" s="22">
        <f t="shared" si="1"/>
        <v>-3.1545558944274497</v>
      </c>
      <c r="O231" s="22">
        <f t="shared" si="2"/>
        <v>52.296131655357385</v>
      </c>
    </row>
    <row r="232" spans="1:16" ht="16">
      <c r="A232" s="6" t="s">
        <v>55</v>
      </c>
      <c r="B232" s="6" t="s">
        <v>57</v>
      </c>
      <c r="C232" s="64" t="s">
        <v>75</v>
      </c>
      <c r="D232" s="6">
        <v>65.099999999999994</v>
      </c>
      <c r="E232" s="6" t="s">
        <v>25</v>
      </c>
      <c r="F232" s="6">
        <v>68</v>
      </c>
      <c r="G232" s="6">
        <v>219</v>
      </c>
      <c r="H232" s="6">
        <v>109.795</v>
      </c>
      <c r="I232" s="6">
        <v>104</v>
      </c>
      <c r="J232" s="6">
        <v>29.791699999999999</v>
      </c>
      <c r="K232" s="8">
        <v>56.976599999999998</v>
      </c>
      <c r="L232" s="8">
        <v>158.16200000000001</v>
      </c>
      <c r="M232" s="22">
        <f t="shared" si="0"/>
        <v>0.49414243556876775</v>
      </c>
      <c r="N232" s="22">
        <f t="shared" si="1"/>
        <v>-3.1545558944274497</v>
      </c>
      <c r="O232" s="22">
        <f t="shared" si="2"/>
        <v>51.099812818845407</v>
      </c>
    </row>
    <row r="233" spans="1:16" ht="16">
      <c r="A233" s="13" t="s">
        <v>55</v>
      </c>
      <c r="B233" s="13" t="s">
        <v>57</v>
      </c>
      <c r="C233" s="65" t="s">
        <v>75</v>
      </c>
      <c r="D233" s="13">
        <v>65.099999999999994</v>
      </c>
      <c r="E233" s="13" t="s">
        <v>52</v>
      </c>
      <c r="F233" s="46">
        <v>68</v>
      </c>
      <c r="G233" s="46">
        <v>195</v>
      </c>
      <c r="H233" s="46">
        <v>98.633899999999997</v>
      </c>
      <c r="I233" s="46">
        <v>94</v>
      </c>
      <c r="J233" s="46">
        <v>22.372499999999999</v>
      </c>
      <c r="K233" s="8">
        <v>56.976599999999998</v>
      </c>
      <c r="L233" s="8">
        <v>158.16200000000001</v>
      </c>
      <c r="M233" s="22">
        <f t="shared" si="0"/>
        <v>0.49414243556876775</v>
      </c>
      <c r="N233" s="22">
        <f t="shared" si="1"/>
        <v>-3.1545558944274497</v>
      </c>
      <c r="O233" s="22">
        <f t="shared" si="2"/>
        <v>45.584639681218832</v>
      </c>
      <c r="P233" s="11"/>
    </row>
    <row r="234" spans="1:16" ht="16">
      <c r="A234" s="13" t="s">
        <v>55</v>
      </c>
      <c r="B234" s="13" t="s">
        <v>57</v>
      </c>
      <c r="C234" s="65" t="s">
        <v>75</v>
      </c>
      <c r="D234" s="13">
        <v>65.099999999999994</v>
      </c>
      <c r="E234" s="13" t="s">
        <v>27</v>
      </c>
      <c r="F234" s="46">
        <v>68</v>
      </c>
      <c r="G234" s="46">
        <v>187</v>
      </c>
      <c r="H234" s="46">
        <v>97.187100000000001</v>
      </c>
      <c r="I234" s="46">
        <v>92</v>
      </c>
      <c r="J234" s="46">
        <v>21.901599999999998</v>
      </c>
      <c r="K234" s="8">
        <v>56.976599999999998</v>
      </c>
      <c r="L234" s="8">
        <v>158.16200000000001</v>
      </c>
      <c r="M234" s="22">
        <f t="shared" si="0"/>
        <v>0.49414243556876775</v>
      </c>
      <c r="N234" s="22">
        <f t="shared" si="1"/>
        <v>-3.1545558944274497</v>
      </c>
      <c r="O234" s="22">
        <f t="shared" si="2"/>
        <v>44.869714405437932</v>
      </c>
    </row>
    <row r="235" spans="1:16" ht="16">
      <c r="A235" s="13" t="s">
        <v>55</v>
      </c>
      <c r="B235" s="13" t="s">
        <v>57</v>
      </c>
      <c r="C235" s="65" t="s">
        <v>75</v>
      </c>
      <c r="D235" s="13">
        <v>65.099999999999994</v>
      </c>
      <c r="E235" s="13" t="s">
        <v>28</v>
      </c>
      <c r="F235" s="46">
        <v>68</v>
      </c>
      <c r="G235" s="46">
        <v>195</v>
      </c>
      <c r="H235" s="46">
        <v>97.933300000000003</v>
      </c>
      <c r="I235" s="46">
        <v>93</v>
      </c>
      <c r="J235" s="46">
        <v>22.2591</v>
      </c>
      <c r="K235" s="8">
        <v>56.976599999999998</v>
      </c>
      <c r="L235" s="8">
        <v>158.16200000000001</v>
      </c>
      <c r="M235" s="22">
        <f t="shared" si="0"/>
        <v>0.49414243556876775</v>
      </c>
      <c r="N235" s="22">
        <f t="shared" si="1"/>
        <v>-3.1545558944274497</v>
      </c>
      <c r="O235" s="22">
        <f t="shared" si="2"/>
        <v>45.238443490859353</v>
      </c>
    </row>
    <row r="236" spans="1:16" ht="16">
      <c r="A236" s="13" t="s">
        <v>55</v>
      </c>
      <c r="B236" s="13" t="s">
        <v>57</v>
      </c>
      <c r="C236" s="65" t="s">
        <v>75</v>
      </c>
      <c r="D236" s="13">
        <v>65.099999999999994</v>
      </c>
      <c r="E236" s="13" t="s">
        <v>29</v>
      </c>
      <c r="F236" s="46">
        <v>68</v>
      </c>
      <c r="G236" s="46">
        <v>216</v>
      </c>
      <c r="H236" s="46">
        <v>99.433199999999999</v>
      </c>
      <c r="I236" s="46">
        <v>94</v>
      </c>
      <c r="J236" s="46">
        <v>24.136600000000001</v>
      </c>
      <c r="K236" s="8">
        <v>56.976599999999998</v>
      </c>
      <c r="L236" s="8">
        <v>158.16200000000001</v>
      </c>
      <c r="M236" s="22">
        <f t="shared" si="0"/>
        <v>0.49414243556876775</v>
      </c>
      <c r="N236" s="22">
        <f t="shared" si="1"/>
        <v>-3.1545558944274497</v>
      </c>
      <c r="O236" s="22">
        <f t="shared" si="2"/>
        <v>45.979607729968947</v>
      </c>
    </row>
    <row r="237" spans="1:16" ht="16">
      <c r="A237" s="13" t="s">
        <v>55</v>
      </c>
      <c r="B237" s="13" t="s">
        <v>57</v>
      </c>
      <c r="C237" s="65" t="s">
        <v>75</v>
      </c>
      <c r="D237" s="13">
        <v>65.099999999999994</v>
      </c>
      <c r="E237" s="13" t="s">
        <v>30</v>
      </c>
      <c r="F237" s="46">
        <v>68</v>
      </c>
      <c r="G237" s="46">
        <v>230</v>
      </c>
      <c r="H237" s="46">
        <v>102.88</v>
      </c>
      <c r="I237" s="46">
        <v>96</v>
      </c>
      <c r="J237" s="46">
        <v>26.676100000000002</v>
      </c>
      <c r="K237" s="8">
        <v>56.976599999999998</v>
      </c>
      <c r="L237" s="8">
        <v>158.16200000000001</v>
      </c>
      <c r="M237" s="22">
        <f t="shared" si="0"/>
        <v>0.49414243556876775</v>
      </c>
      <c r="N237" s="22">
        <f t="shared" si="1"/>
        <v>-3.1545558944274497</v>
      </c>
      <c r="O237" s="22">
        <f t="shared" si="2"/>
        <v>47.68281787688737</v>
      </c>
    </row>
    <row r="238" spans="1:16" ht="16">
      <c r="A238" s="16" t="s">
        <v>55</v>
      </c>
      <c r="B238" s="16" t="s">
        <v>57</v>
      </c>
      <c r="C238" s="66" t="s">
        <v>75</v>
      </c>
      <c r="D238" s="16">
        <v>65.099999999999994</v>
      </c>
      <c r="E238" s="16" t="s">
        <v>53</v>
      </c>
      <c r="F238" s="16">
        <v>68</v>
      </c>
      <c r="G238" s="16">
        <v>210</v>
      </c>
      <c r="H238" s="16">
        <v>107.154</v>
      </c>
      <c r="I238" s="16">
        <v>103</v>
      </c>
      <c r="J238" s="16">
        <v>26.347899999999999</v>
      </c>
      <c r="K238" s="8">
        <v>56.976599999999998</v>
      </c>
      <c r="L238" s="8">
        <v>158.16200000000001</v>
      </c>
      <c r="M238" s="22">
        <f t="shared" si="0"/>
        <v>0.49414243556876775</v>
      </c>
      <c r="N238" s="22">
        <f t="shared" si="1"/>
        <v>-3.1545558944274497</v>
      </c>
      <c r="O238" s="22">
        <f t="shared" si="2"/>
        <v>49.794782646508281</v>
      </c>
      <c r="P238" s="11"/>
    </row>
    <row r="239" spans="1:16" ht="16">
      <c r="A239" s="16" t="s">
        <v>55</v>
      </c>
      <c r="B239" s="16" t="s">
        <v>57</v>
      </c>
      <c r="C239" s="66" t="s">
        <v>75</v>
      </c>
      <c r="D239" s="16">
        <v>65.099999999999994</v>
      </c>
      <c r="E239" s="16" t="s">
        <v>32</v>
      </c>
      <c r="F239" s="16">
        <v>68</v>
      </c>
      <c r="G239" s="16">
        <v>195</v>
      </c>
      <c r="H239" s="16">
        <v>109.499</v>
      </c>
      <c r="I239" s="16">
        <v>106</v>
      </c>
      <c r="J239" s="16">
        <v>27.339099999999998</v>
      </c>
      <c r="K239" s="8">
        <v>56.976599999999998</v>
      </c>
      <c r="L239" s="8">
        <v>158.16200000000001</v>
      </c>
      <c r="M239" s="22">
        <f t="shared" si="0"/>
        <v>0.49414243556876775</v>
      </c>
      <c r="N239" s="22">
        <f t="shared" si="1"/>
        <v>-3.1545558944274497</v>
      </c>
      <c r="O239" s="22">
        <f t="shared" si="2"/>
        <v>50.953546657917045</v>
      </c>
    </row>
    <row r="240" spans="1:16" ht="16">
      <c r="A240" s="16" t="s">
        <v>55</v>
      </c>
      <c r="B240" s="16" t="s">
        <v>57</v>
      </c>
      <c r="C240" s="66" t="s">
        <v>75</v>
      </c>
      <c r="D240" s="16">
        <v>65.099999999999994</v>
      </c>
      <c r="E240" s="16" t="s">
        <v>33</v>
      </c>
      <c r="F240" s="16">
        <v>68</v>
      </c>
      <c r="G240" s="16">
        <v>213</v>
      </c>
      <c r="H240" s="16">
        <v>111.649</v>
      </c>
      <c r="I240" s="16">
        <v>107</v>
      </c>
      <c r="J240" s="16">
        <v>29.678699999999999</v>
      </c>
      <c r="K240" s="8">
        <v>56.976599999999998</v>
      </c>
      <c r="L240" s="8">
        <v>158.16200000000001</v>
      </c>
      <c r="M240" s="22">
        <f t="shared" si="0"/>
        <v>0.49414243556876775</v>
      </c>
      <c r="N240" s="22">
        <f t="shared" si="1"/>
        <v>-3.1545558944274497</v>
      </c>
      <c r="O240" s="22">
        <f t="shared" si="2"/>
        <v>52.015952894389898</v>
      </c>
    </row>
    <row r="241" spans="1:15" ht="16">
      <c r="A241" s="16" t="s">
        <v>55</v>
      </c>
      <c r="B241" s="16" t="s">
        <v>57</v>
      </c>
      <c r="C241" s="66" t="s">
        <v>75</v>
      </c>
      <c r="D241" s="16">
        <v>65.099999999999994</v>
      </c>
      <c r="E241" s="16" t="s">
        <v>34</v>
      </c>
      <c r="F241" s="16">
        <v>68</v>
      </c>
      <c r="G241" s="16">
        <v>228</v>
      </c>
      <c r="H241" s="16">
        <v>116.751</v>
      </c>
      <c r="I241" s="16">
        <v>112</v>
      </c>
      <c r="J241" s="16">
        <v>33.217799999999997</v>
      </c>
      <c r="K241" s="8">
        <v>56.976599999999998</v>
      </c>
      <c r="L241" s="8">
        <v>158.16200000000001</v>
      </c>
      <c r="M241" s="22">
        <f t="shared" si="0"/>
        <v>0.49414243556876775</v>
      </c>
      <c r="N241" s="22">
        <f t="shared" si="1"/>
        <v>-3.1545558944274497</v>
      </c>
      <c r="O241" s="22">
        <f t="shared" si="2"/>
        <v>54.537067600661757</v>
      </c>
    </row>
    <row r="242" spans="1:15" ht="16">
      <c r="A242" s="16" t="s">
        <v>55</v>
      </c>
      <c r="B242" s="16" t="s">
        <v>57</v>
      </c>
      <c r="C242" s="66" t="s">
        <v>75</v>
      </c>
      <c r="D242" s="16">
        <v>65.099999999999994</v>
      </c>
      <c r="E242" s="16" t="s">
        <v>35</v>
      </c>
      <c r="F242" s="16">
        <v>68</v>
      </c>
      <c r="G242" s="16">
        <v>225</v>
      </c>
      <c r="H242" s="16">
        <v>116.49299999999999</v>
      </c>
      <c r="I242" s="16">
        <v>112</v>
      </c>
      <c r="J242" s="16">
        <v>32.841900000000003</v>
      </c>
      <c r="K242" s="8">
        <v>56.976599999999998</v>
      </c>
      <c r="L242" s="8">
        <v>158.16200000000001</v>
      </c>
      <c r="M242" s="22">
        <f t="shared" si="0"/>
        <v>0.49414243556876775</v>
      </c>
      <c r="N242" s="22">
        <f t="shared" si="1"/>
        <v>-3.1545558944274497</v>
      </c>
      <c r="O242" s="22">
        <f t="shared" si="2"/>
        <v>54.409578852285009</v>
      </c>
    </row>
    <row r="243" spans="1:15" ht="16">
      <c r="A243" s="6" t="s">
        <v>58</v>
      </c>
      <c r="B243" s="6" t="s">
        <v>56</v>
      </c>
      <c r="C243" s="64" t="s">
        <v>74</v>
      </c>
      <c r="D243" s="6">
        <v>34</v>
      </c>
      <c r="E243" s="6" t="s">
        <v>21</v>
      </c>
      <c r="F243" s="6">
        <v>55</v>
      </c>
      <c r="G243" s="6">
        <v>176</v>
      </c>
      <c r="H243" s="6">
        <v>84.474400000000003</v>
      </c>
      <c r="I243" s="6">
        <v>79</v>
      </c>
      <c r="J243" s="6">
        <v>21.036100000000001</v>
      </c>
      <c r="K243" s="47">
        <v>86.249899999999997</v>
      </c>
      <c r="L243" s="8">
        <v>252.446</v>
      </c>
      <c r="M243" s="22">
        <f t="shared" si="0"/>
        <v>0.30084941824747991</v>
      </c>
      <c r="N243" s="22">
        <f t="shared" si="1"/>
        <v>-0.94823223890331576</v>
      </c>
      <c r="O243" s="22">
        <f t="shared" si="2"/>
        <v>24.465841857901601</v>
      </c>
    </row>
    <row r="244" spans="1:15" ht="16">
      <c r="A244" s="6" t="s">
        <v>58</v>
      </c>
      <c r="B244" s="6" t="s">
        <v>56</v>
      </c>
      <c r="C244" s="64" t="s">
        <v>74</v>
      </c>
      <c r="D244" s="6">
        <v>34</v>
      </c>
      <c r="E244" s="6" t="s">
        <v>22</v>
      </c>
      <c r="F244" s="6">
        <v>51</v>
      </c>
      <c r="G244" s="6">
        <v>182</v>
      </c>
      <c r="H244" s="6">
        <v>84.013599999999997</v>
      </c>
      <c r="I244" s="6">
        <v>79</v>
      </c>
      <c r="J244" s="6">
        <v>20.544499999999999</v>
      </c>
      <c r="K244" s="47">
        <v>86.249899999999997</v>
      </c>
      <c r="L244" s="8">
        <v>252.446</v>
      </c>
      <c r="M244" s="22">
        <f t="shared" si="0"/>
        <v>0.30084941824747991</v>
      </c>
      <c r="N244" s="22">
        <f t="shared" si="1"/>
        <v>-0.94823223890331576</v>
      </c>
      <c r="O244" s="22">
        <f t="shared" si="2"/>
        <v>24.327210445973162</v>
      </c>
    </row>
    <row r="245" spans="1:15" ht="16">
      <c r="A245" s="6" t="s">
        <v>58</v>
      </c>
      <c r="B245" s="6" t="s">
        <v>56</v>
      </c>
      <c r="C245" s="64" t="s">
        <v>74</v>
      </c>
      <c r="D245" s="6">
        <v>34</v>
      </c>
      <c r="E245" s="6" t="s">
        <v>23</v>
      </c>
      <c r="F245" s="6">
        <v>51</v>
      </c>
      <c r="G245" s="6">
        <v>162</v>
      </c>
      <c r="H245" s="6">
        <v>82.036699999999996</v>
      </c>
      <c r="I245" s="6">
        <v>77</v>
      </c>
      <c r="J245" s="6">
        <v>18.999300000000002</v>
      </c>
      <c r="K245" s="47">
        <v>86.249899999999997</v>
      </c>
      <c r="L245" s="8">
        <v>252.446</v>
      </c>
      <c r="M245" s="22">
        <f t="shared" si="0"/>
        <v>0.30084941824747991</v>
      </c>
      <c r="N245" s="22">
        <f t="shared" si="1"/>
        <v>-0.94823223890331576</v>
      </c>
      <c r="O245" s="22">
        <f t="shared" si="2"/>
        <v>23.732461231039718</v>
      </c>
    </row>
    <row r="246" spans="1:15" ht="16">
      <c r="A246" s="6" t="s">
        <v>58</v>
      </c>
      <c r="B246" s="6" t="s">
        <v>56</v>
      </c>
      <c r="C246" s="64" t="s">
        <v>74</v>
      </c>
      <c r="D246" s="6">
        <v>34</v>
      </c>
      <c r="E246" s="6" t="s">
        <v>24</v>
      </c>
      <c r="F246" s="6">
        <v>51</v>
      </c>
      <c r="G246" s="6">
        <v>162</v>
      </c>
      <c r="H246" s="6">
        <v>80.352199999999996</v>
      </c>
      <c r="I246" s="6">
        <v>76</v>
      </c>
      <c r="J246" s="6">
        <v>17.293299999999999</v>
      </c>
      <c r="K246" s="47">
        <v>86.249899999999997</v>
      </c>
      <c r="L246" s="8">
        <v>252.446</v>
      </c>
      <c r="M246" s="22">
        <f t="shared" si="0"/>
        <v>0.30084941824747991</v>
      </c>
      <c r="N246" s="22">
        <f t="shared" si="1"/>
        <v>-0.94823223890331576</v>
      </c>
      <c r="O246" s="22">
        <f t="shared" si="2"/>
        <v>23.225680386001837</v>
      </c>
    </row>
    <row r="247" spans="1:15" ht="16">
      <c r="A247" s="6" t="s">
        <v>58</v>
      </c>
      <c r="B247" s="6" t="s">
        <v>56</v>
      </c>
      <c r="C247" s="64" t="s">
        <v>74</v>
      </c>
      <c r="D247" s="6">
        <v>34</v>
      </c>
      <c r="E247" s="6" t="s">
        <v>25</v>
      </c>
      <c r="F247" s="6">
        <v>51</v>
      </c>
      <c r="G247" s="6">
        <v>154</v>
      </c>
      <c r="H247" s="6">
        <v>79.810699999999997</v>
      </c>
      <c r="I247" s="6">
        <v>76</v>
      </c>
      <c r="J247" s="6">
        <v>16.925599999999999</v>
      </c>
      <c r="K247" s="47">
        <v>86.249899999999997</v>
      </c>
      <c r="L247" s="8">
        <v>252.446</v>
      </c>
      <c r="M247" s="22">
        <f t="shared" si="0"/>
        <v>0.30084941824747991</v>
      </c>
      <c r="N247" s="22">
        <f t="shared" si="1"/>
        <v>-0.94823223890331576</v>
      </c>
      <c r="O247" s="22">
        <f t="shared" si="2"/>
        <v>23.062770426020826</v>
      </c>
    </row>
    <row r="248" spans="1:15" ht="16">
      <c r="A248" s="13" t="s">
        <v>58</v>
      </c>
      <c r="B248" s="13" t="s">
        <v>56</v>
      </c>
      <c r="C248" s="65" t="s">
        <v>74</v>
      </c>
      <c r="D248" s="13">
        <v>34</v>
      </c>
      <c r="E248" s="13" t="s">
        <v>52</v>
      </c>
      <c r="F248" s="46">
        <v>55</v>
      </c>
      <c r="G248" s="46">
        <v>143</v>
      </c>
      <c r="H248" s="46">
        <v>76.540199999999999</v>
      </c>
      <c r="I248" s="46">
        <v>74</v>
      </c>
      <c r="J248" s="46">
        <v>11.9064</v>
      </c>
      <c r="K248" s="47">
        <v>86.249899999999997</v>
      </c>
      <c r="L248" s="8">
        <v>252.446</v>
      </c>
      <c r="M248" s="22">
        <f t="shared" si="0"/>
        <v>0.30084941824747991</v>
      </c>
      <c r="N248" s="22">
        <f t="shared" si="1"/>
        <v>-0.94823223890331576</v>
      </c>
      <c r="O248" s="22">
        <f t="shared" si="2"/>
        <v>22.078842403642444</v>
      </c>
    </row>
    <row r="249" spans="1:15" ht="16">
      <c r="A249" s="13" t="s">
        <v>58</v>
      </c>
      <c r="B249" s="13" t="s">
        <v>56</v>
      </c>
      <c r="C249" s="65" t="s">
        <v>74</v>
      </c>
      <c r="D249" s="13">
        <v>34</v>
      </c>
      <c r="E249" s="13" t="s">
        <v>27</v>
      </c>
      <c r="F249" s="46">
        <v>55</v>
      </c>
      <c r="G249" s="46">
        <v>163</v>
      </c>
      <c r="H249" s="46">
        <v>77.748599999999996</v>
      </c>
      <c r="I249" s="46">
        <v>75</v>
      </c>
      <c r="J249" s="46">
        <v>13.0999</v>
      </c>
      <c r="K249" s="47">
        <v>86.249899999999997</v>
      </c>
      <c r="L249" s="8">
        <v>252.446</v>
      </c>
      <c r="M249" s="22">
        <f t="shared" si="0"/>
        <v>0.30084941824747991</v>
      </c>
      <c r="N249" s="22">
        <f t="shared" si="1"/>
        <v>-0.94823223890331576</v>
      </c>
      <c r="O249" s="22">
        <f t="shared" si="2"/>
        <v>22.442388840652701</v>
      </c>
    </row>
    <row r="250" spans="1:15" ht="16">
      <c r="A250" s="13" t="s">
        <v>58</v>
      </c>
      <c r="B250" s="13" t="s">
        <v>56</v>
      </c>
      <c r="C250" s="65" t="s">
        <v>74</v>
      </c>
      <c r="D250" s="13">
        <v>34</v>
      </c>
      <c r="E250" s="13" t="s">
        <v>28</v>
      </c>
      <c r="F250" s="46">
        <v>55</v>
      </c>
      <c r="G250" s="46">
        <v>181</v>
      </c>
      <c r="H250" s="46">
        <v>79.909800000000004</v>
      </c>
      <c r="I250" s="46">
        <v>77</v>
      </c>
      <c r="J250" s="46">
        <v>13.685700000000001</v>
      </c>
      <c r="K250" s="47">
        <v>86.249899999999997</v>
      </c>
      <c r="L250" s="8">
        <v>252.446</v>
      </c>
      <c r="M250" s="22">
        <f t="shared" si="0"/>
        <v>0.30084941824747991</v>
      </c>
      <c r="N250" s="22">
        <f t="shared" si="1"/>
        <v>-0.94823223890331576</v>
      </c>
      <c r="O250" s="22">
        <f t="shared" si="2"/>
        <v>23.092584603369154</v>
      </c>
    </row>
    <row r="251" spans="1:15" ht="16">
      <c r="A251" s="13" t="s">
        <v>58</v>
      </c>
      <c r="B251" s="13" t="s">
        <v>56</v>
      </c>
      <c r="C251" s="65" t="s">
        <v>74</v>
      </c>
      <c r="D251" s="13">
        <v>34</v>
      </c>
      <c r="E251" s="13" t="s">
        <v>29</v>
      </c>
      <c r="F251" s="46">
        <v>55</v>
      </c>
      <c r="G251" s="46">
        <v>176</v>
      </c>
      <c r="H251" s="46">
        <v>80.610399999999998</v>
      </c>
      <c r="I251" s="46">
        <v>77</v>
      </c>
      <c r="J251" s="46">
        <v>14.1343</v>
      </c>
      <c r="K251" s="47">
        <v>86.249899999999997</v>
      </c>
      <c r="L251" s="8">
        <v>252.446</v>
      </c>
      <c r="M251" s="22">
        <f t="shared" si="0"/>
        <v>0.30084941824747991</v>
      </c>
      <c r="N251" s="22">
        <f t="shared" si="1"/>
        <v>-0.94823223890331576</v>
      </c>
      <c r="O251" s="22">
        <f t="shared" si="2"/>
        <v>23.303359705793337</v>
      </c>
    </row>
    <row r="252" spans="1:15" ht="16">
      <c r="A252" s="13" t="s">
        <v>58</v>
      </c>
      <c r="B252" s="13" t="s">
        <v>56</v>
      </c>
      <c r="C252" s="65" t="s">
        <v>74</v>
      </c>
      <c r="D252" s="13">
        <v>34</v>
      </c>
      <c r="E252" s="13" t="s">
        <v>30</v>
      </c>
      <c r="F252" s="46">
        <v>63</v>
      </c>
      <c r="G252" s="46">
        <v>186</v>
      </c>
      <c r="H252" s="46">
        <v>81.999200000000002</v>
      </c>
      <c r="I252" s="46">
        <v>78</v>
      </c>
      <c r="J252" s="46">
        <v>15.3063</v>
      </c>
      <c r="K252" s="47">
        <v>86.249899999999997</v>
      </c>
      <c r="L252" s="8">
        <v>252.446</v>
      </c>
      <c r="M252" s="22">
        <f t="shared" si="0"/>
        <v>0.30084941824747991</v>
      </c>
      <c r="N252" s="22">
        <f t="shared" si="1"/>
        <v>-0.94823223890331576</v>
      </c>
      <c r="O252" s="22">
        <f t="shared" si="2"/>
        <v>23.721179377855439</v>
      </c>
    </row>
    <row r="253" spans="1:15" ht="16">
      <c r="A253" s="16" t="s">
        <v>58</v>
      </c>
      <c r="B253" s="16" t="s">
        <v>56</v>
      </c>
      <c r="C253" s="66" t="s">
        <v>74</v>
      </c>
      <c r="D253" s="16">
        <v>34</v>
      </c>
      <c r="E253" s="16" t="s">
        <v>53</v>
      </c>
      <c r="F253" s="16">
        <v>63</v>
      </c>
      <c r="G253" s="16">
        <v>199</v>
      </c>
      <c r="H253" s="16">
        <v>88.990200000000002</v>
      </c>
      <c r="I253" s="16">
        <v>84</v>
      </c>
      <c r="J253" s="16">
        <v>21.403600000000001</v>
      </c>
      <c r="K253" s="47">
        <v>86.249899999999997</v>
      </c>
      <c r="L253" s="8">
        <v>252.446</v>
      </c>
      <c r="M253" s="22">
        <f t="shared" si="0"/>
        <v>0.30084941824747991</v>
      </c>
      <c r="N253" s="22">
        <f t="shared" si="1"/>
        <v>-0.94823223890331576</v>
      </c>
      <c r="O253" s="22">
        <f t="shared" si="2"/>
        <v>25.82441766082357</v>
      </c>
    </row>
    <row r="254" spans="1:15" ht="16">
      <c r="A254" s="16" t="s">
        <v>58</v>
      </c>
      <c r="B254" s="16" t="s">
        <v>56</v>
      </c>
      <c r="C254" s="66" t="s">
        <v>74</v>
      </c>
      <c r="D254" s="16">
        <v>34</v>
      </c>
      <c r="E254" s="16" t="s">
        <v>32</v>
      </c>
      <c r="F254" s="16">
        <v>63</v>
      </c>
      <c r="G254" s="16">
        <v>214</v>
      </c>
      <c r="H254" s="16">
        <v>90.183999999999997</v>
      </c>
      <c r="I254" s="16">
        <v>84</v>
      </c>
      <c r="J254" s="16">
        <v>23.089600000000001</v>
      </c>
      <c r="K254" s="47">
        <v>86.249899999999997</v>
      </c>
      <c r="L254" s="8">
        <v>252.446</v>
      </c>
      <c r="M254" s="22">
        <f t="shared" si="0"/>
        <v>0.30084941824747991</v>
      </c>
      <c r="N254" s="22">
        <f t="shared" si="1"/>
        <v>-0.94823223890331576</v>
      </c>
      <c r="O254" s="22">
        <f t="shared" si="2"/>
        <v>26.183571696327412</v>
      </c>
    </row>
    <row r="255" spans="1:15" ht="16">
      <c r="A255" s="16" t="s">
        <v>58</v>
      </c>
      <c r="B255" s="16" t="s">
        <v>56</v>
      </c>
      <c r="C255" s="66" t="s">
        <v>74</v>
      </c>
      <c r="D255" s="16">
        <v>34</v>
      </c>
      <c r="E255" s="16" t="s">
        <v>33</v>
      </c>
      <c r="F255" s="16">
        <v>63</v>
      </c>
      <c r="G255" s="16">
        <v>234</v>
      </c>
      <c r="H255" s="16">
        <v>91.289199999999994</v>
      </c>
      <c r="I255" s="16">
        <v>84</v>
      </c>
      <c r="J255" s="16">
        <v>24.596699999999998</v>
      </c>
      <c r="K255" s="47">
        <v>86.249899999999997</v>
      </c>
      <c r="L255" s="8">
        <v>252.446</v>
      </c>
      <c r="M255" s="22">
        <f t="shared" si="0"/>
        <v>0.30084941824747991</v>
      </c>
      <c r="N255" s="22">
        <f t="shared" si="1"/>
        <v>-0.94823223890331576</v>
      </c>
      <c r="O255" s="22">
        <f t="shared" si="2"/>
        <v>26.516070473374526</v>
      </c>
    </row>
    <row r="256" spans="1:15" ht="16">
      <c r="A256" s="16" t="s">
        <v>58</v>
      </c>
      <c r="B256" s="16" t="s">
        <v>56</v>
      </c>
      <c r="C256" s="66" t="s">
        <v>74</v>
      </c>
      <c r="D256" s="16">
        <v>34</v>
      </c>
      <c r="E256" s="16" t="s">
        <v>34</v>
      </c>
      <c r="F256" s="16">
        <v>63</v>
      </c>
      <c r="G256" s="16">
        <v>230</v>
      </c>
      <c r="H256" s="16">
        <v>91.379599999999996</v>
      </c>
      <c r="I256" s="16">
        <v>84</v>
      </c>
      <c r="J256" s="16">
        <v>24.815200000000001</v>
      </c>
      <c r="K256" s="47">
        <v>86.249899999999997</v>
      </c>
      <c r="L256" s="8">
        <v>252.446</v>
      </c>
      <c r="M256" s="22">
        <f t="shared" si="0"/>
        <v>0.30084941824747991</v>
      </c>
      <c r="N256" s="22">
        <f t="shared" si="1"/>
        <v>-0.94823223890331576</v>
      </c>
      <c r="O256" s="22">
        <f t="shared" si="2"/>
        <v>26.543267260784098</v>
      </c>
    </row>
    <row r="257" spans="1:15" ht="16">
      <c r="A257" s="16" t="s">
        <v>58</v>
      </c>
      <c r="B257" s="16" t="s">
        <v>56</v>
      </c>
      <c r="C257" s="66" t="s">
        <v>74</v>
      </c>
      <c r="D257" s="16">
        <v>34</v>
      </c>
      <c r="E257" s="16" t="s">
        <v>35</v>
      </c>
      <c r="F257" s="16">
        <v>63</v>
      </c>
      <c r="G257" s="16">
        <v>226</v>
      </c>
      <c r="H257" s="16">
        <v>92.625100000000003</v>
      </c>
      <c r="I257" s="16">
        <v>84</v>
      </c>
      <c r="J257" s="16">
        <v>26.377099999999999</v>
      </c>
      <c r="K257" s="47">
        <v>86.249899999999997</v>
      </c>
      <c r="L257" s="8">
        <v>252.446</v>
      </c>
      <c r="M257" s="22">
        <f t="shared" si="0"/>
        <v>0.30084941824747991</v>
      </c>
      <c r="N257" s="22">
        <f t="shared" si="1"/>
        <v>-0.94823223890331576</v>
      </c>
      <c r="O257" s="22">
        <f t="shared" si="2"/>
        <v>26.917975211211335</v>
      </c>
    </row>
    <row r="258" spans="1:15" ht="16">
      <c r="A258" s="6" t="s">
        <v>58</v>
      </c>
      <c r="B258" s="6" t="s">
        <v>57</v>
      </c>
      <c r="C258" s="64" t="s">
        <v>74</v>
      </c>
      <c r="D258" s="6">
        <v>40</v>
      </c>
      <c r="E258" s="6" t="s">
        <v>21</v>
      </c>
      <c r="F258" s="6">
        <v>77</v>
      </c>
      <c r="G258" s="6">
        <v>254</v>
      </c>
      <c r="H258" s="6">
        <v>123.89100000000001</v>
      </c>
      <c r="I258" s="6">
        <v>116</v>
      </c>
      <c r="J258" s="6">
        <v>36.599600000000002</v>
      </c>
      <c r="K258" s="47">
        <v>86.249899999999997</v>
      </c>
      <c r="L258" s="8">
        <v>252.446</v>
      </c>
      <c r="M258" s="22">
        <f t="shared" ref="M258:M332" si="3">(75-25)/(L258-K258)</f>
        <v>0.30084941824747991</v>
      </c>
      <c r="N258" s="22">
        <f t="shared" ref="N258:N332" si="4">25-K258*M258</f>
        <v>-0.94823223890331576</v>
      </c>
      <c r="O258" s="22">
        <f t="shared" ref="O258:O332" si="5">M258*H258+N258</f>
        <v>36.324303037195222</v>
      </c>
    </row>
    <row r="259" spans="1:15" ht="16">
      <c r="A259" s="6" t="s">
        <v>58</v>
      </c>
      <c r="B259" s="6" t="s">
        <v>57</v>
      </c>
      <c r="C259" s="64" t="s">
        <v>74</v>
      </c>
      <c r="D259" s="6">
        <v>40</v>
      </c>
      <c r="E259" s="6" t="s">
        <v>22</v>
      </c>
      <c r="F259" s="6">
        <v>77</v>
      </c>
      <c r="G259" s="6">
        <v>254</v>
      </c>
      <c r="H259" s="6">
        <v>121.91500000000001</v>
      </c>
      <c r="I259" s="6">
        <v>115</v>
      </c>
      <c r="J259" s="6">
        <v>34.202500000000001</v>
      </c>
      <c r="K259" s="47">
        <v>86.249899999999997</v>
      </c>
      <c r="L259" s="8">
        <v>252.446</v>
      </c>
      <c r="M259" s="22">
        <f t="shared" si="3"/>
        <v>0.30084941824747991</v>
      </c>
      <c r="N259" s="22">
        <f t="shared" si="4"/>
        <v>-0.94823223890331576</v>
      </c>
      <c r="O259" s="22">
        <f t="shared" si="5"/>
        <v>35.729824586738197</v>
      </c>
    </row>
    <row r="260" spans="1:15" ht="16">
      <c r="A260" s="6" t="s">
        <v>58</v>
      </c>
      <c r="B260" s="6" t="s">
        <v>57</v>
      </c>
      <c r="C260" s="64" t="s">
        <v>74</v>
      </c>
      <c r="D260" s="6">
        <v>40</v>
      </c>
      <c r="E260" s="6" t="s">
        <v>23</v>
      </c>
      <c r="F260" s="6">
        <v>77</v>
      </c>
      <c r="G260" s="6">
        <v>244</v>
      </c>
      <c r="H260" s="6">
        <v>118.071</v>
      </c>
      <c r="I260" s="6">
        <v>112</v>
      </c>
      <c r="J260" s="6">
        <v>30.677800000000001</v>
      </c>
      <c r="K260" s="47">
        <v>86.249899999999997</v>
      </c>
      <c r="L260" s="8">
        <v>252.446</v>
      </c>
      <c r="M260" s="22">
        <f t="shared" si="3"/>
        <v>0.30084941824747991</v>
      </c>
      <c r="N260" s="22">
        <f t="shared" si="4"/>
        <v>-0.94823223890331576</v>
      </c>
      <c r="O260" s="22">
        <f t="shared" si="5"/>
        <v>34.573359422994884</v>
      </c>
    </row>
    <row r="261" spans="1:15" ht="16">
      <c r="A261" s="6" t="s">
        <v>58</v>
      </c>
      <c r="B261" s="6" t="s">
        <v>57</v>
      </c>
      <c r="C261" s="64" t="s">
        <v>74</v>
      </c>
      <c r="D261" s="6">
        <v>40</v>
      </c>
      <c r="E261" s="6" t="s">
        <v>24</v>
      </c>
      <c r="F261" s="6">
        <v>77</v>
      </c>
      <c r="G261" s="6">
        <v>249</v>
      </c>
      <c r="H261" s="6">
        <v>114.614</v>
      </c>
      <c r="I261" s="6">
        <v>109</v>
      </c>
      <c r="J261" s="6">
        <v>27.994199999999999</v>
      </c>
      <c r="K261" s="47">
        <v>86.249899999999997</v>
      </c>
      <c r="L261" s="8">
        <v>252.446</v>
      </c>
      <c r="M261" s="22">
        <f t="shared" si="3"/>
        <v>0.30084941824747991</v>
      </c>
      <c r="N261" s="22">
        <f t="shared" si="4"/>
        <v>-0.94823223890331576</v>
      </c>
      <c r="O261" s="22">
        <f t="shared" si="5"/>
        <v>33.533322984113347</v>
      </c>
    </row>
    <row r="262" spans="1:15" ht="16">
      <c r="A262" s="6" t="s">
        <v>58</v>
      </c>
      <c r="B262" s="6" t="s">
        <v>57</v>
      </c>
      <c r="C262" s="64" t="s">
        <v>74</v>
      </c>
      <c r="D262" s="6">
        <v>40</v>
      </c>
      <c r="E262" s="6" t="s">
        <v>25</v>
      </c>
      <c r="F262" s="6">
        <v>77</v>
      </c>
      <c r="G262" s="6">
        <v>240</v>
      </c>
      <c r="H262" s="6">
        <v>112.035</v>
      </c>
      <c r="I262" s="6">
        <v>108</v>
      </c>
      <c r="J262" s="6">
        <v>25.360299999999999</v>
      </c>
      <c r="K262" s="47">
        <v>86.249899999999997</v>
      </c>
      <c r="L262" s="8">
        <v>252.446</v>
      </c>
      <c r="M262" s="22">
        <f t="shared" si="3"/>
        <v>0.30084941824747991</v>
      </c>
      <c r="N262" s="22">
        <f t="shared" si="4"/>
        <v>-0.94823223890331576</v>
      </c>
      <c r="O262" s="22">
        <f t="shared" si="5"/>
        <v>32.757432334453092</v>
      </c>
    </row>
    <row r="263" spans="1:15" ht="16">
      <c r="A263" s="13" t="s">
        <v>58</v>
      </c>
      <c r="B263" s="13" t="s">
        <v>57</v>
      </c>
      <c r="C263" s="65" t="s">
        <v>74</v>
      </c>
      <c r="D263" s="13">
        <v>40</v>
      </c>
      <c r="E263" s="13" t="s">
        <v>52</v>
      </c>
      <c r="F263" s="46">
        <v>71</v>
      </c>
      <c r="G263" s="46">
        <v>254</v>
      </c>
      <c r="H263" s="46">
        <v>101.458</v>
      </c>
      <c r="I263" s="46">
        <v>98</v>
      </c>
      <c r="J263" s="46">
        <v>22.657</v>
      </c>
      <c r="K263" s="47">
        <v>86.249899999999997</v>
      </c>
      <c r="L263" s="8">
        <v>252.446</v>
      </c>
      <c r="M263" s="22">
        <f t="shared" si="3"/>
        <v>0.30084941824747991</v>
      </c>
      <c r="N263" s="22">
        <f t="shared" si="4"/>
        <v>-0.94823223890331576</v>
      </c>
      <c r="O263" s="22">
        <f t="shared" si="5"/>
        <v>29.575348037649501</v>
      </c>
    </row>
    <row r="264" spans="1:15" ht="16">
      <c r="A264" s="13" t="s">
        <v>58</v>
      </c>
      <c r="B264" s="13" t="s">
        <v>57</v>
      </c>
      <c r="C264" s="65" t="s">
        <v>74</v>
      </c>
      <c r="D264" s="13">
        <v>40</v>
      </c>
      <c r="E264" s="13" t="s">
        <v>27</v>
      </c>
      <c r="F264" s="46">
        <v>71</v>
      </c>
      <c r="G264" s="46">
        <v>254</v>
      </c>
      <c r="H264" s="46">
        <v>102.98399999999999</v>
      </c>
      <c r="I264" s="46">
        <v>100</v>
      </c>
      <c r="J264" s="46">
        <v>23.458300000000001</v>
      </c>
      <c r="K264" s="47">
        <v>86.249899999999997</v>
      </c>
      <c r="L264" s="8">
        <v>252.446</v>
      </c>
      <c r="M264" s="22">
        <f t="shared" si="3"/>
        <v>0.30084941824747991</v>
      </c>
      <c r="N264" s="22">
        <f t="shared" si="4"/>
        <v>-0.94823223890331576</v>
      </c>
      <c r="O264" s="22">
        <f t="shared" si="5"/>
        <v>30.034444249895152</v>
      </c>
    </row>
    <row r="265" spans="1:15" ht="16">
      <c r="A265" s="13" t="s">
        <v>58</v>
      </c>
      <c r="B265" s="13" t="s">
        <v>57</v>
      </c>
      <c r="C265" s="65" t="s">
        <v>74</v>
      </c>
      <c r="D265" s="13">
        <v>40</v>
      </c>
      <c r="E265" s="13" t="s">
        <v>28</v>
      </c>
      <c r="F265" s="46">
        <v>71</v>
      </c>
      <c r="G265" s="46">
        <v>254</v>
      </c>
      <c r="H265" s="46">
        <v>102.419</v>
      </c>
      <c r="I265" s="46">
        <v>99</v>
      </c>
      <c r="J265" s="46">
        <v>23.273199999999999</v>
      </c>
      <c r="K265" s="47">
        <v>86.249899999999997</v>
      </c>
      <c r="L265" s="8">
        <v>252.446</v>
      </c>
      <c r="M265" s="22">
        <f t="shared" si="3"/>
        <v>0.30084941824747991</v>
      </c>
      <c r="N265" s="22">
        <f t="shared" si="4"/>
        <v>-0.94823223890331576</v>
      </c>
      <c r="O265" s="22">
        <f t="shared" si="5"/>
        <v>29.864464328585328</v>
      </c>
    </row>
    <row r="266" spans="1:15" ht="16">
      <c r="A266" s="13" t="s">
        <v>58</v>
      </c>
      <c r="B266" s="13" t="s">
        <v>57</v>
      </c>
      <c r="C266" s="65" t="s">
        <v>74</v>
      </c>
      <c r="D266" s="13">
        <v>40</v>
      </c>
      <c r="E266" s="13" t="s">
        <v>29</v>
      </c>
      <c r="F266" s="46">
        <v>71</v>
      </c>
      <c r="G266" s="46">
        <v>254</v>
      </c>
      <c r="H266" s="46">
        <v>102.425</v>
      </c>
      <c r="I266" s="46">
        <v>99</v>
      </c>
      <c r="J266" s="46">
        <v>23.296299999999999</v>
      </c>
      <c r="K266" s="47">
        <v>86.249899999999997</v>
      </c>
      <c r="L266" s="8">
        <v>252.446</v>
      </c>
      <c r="M266" s="22">
        <f t="shared" si="3"/>
        <v>0.30084941824747991</v>
      </c>
      <c r="N266" s="22">
        <f t="shared" si="4"/>
        <v>-0.94823223890331576</v>
      </c>
      <c r="O266" s="22">
        <f t="shared" si="5"/>
        <v>29.866269425094814</v>
      </c>
    </row>
    <row r="267" spans="1:15" ht="16">
      <c r="A267" s="13" t="s">
        <v>58</v>
      </c>
      <c r="B267" s="13" t="s">
        <v>57</v>
      </c>
      <c r="C267" s="65" t="s">
        <v>74</v>
      </c>
      <c r="D267" s="13">
        <v>40</v>
      </c>
      <c r="E267" s="13" t="s">
        <v>30</v>
      </c>
      <c r="F267" s="46">
        <v>71</v>
      </c>
      <c r="G267" s="46">
        <v>254</v>
      </c>
      <c r="H267" s="46">
        <v>101.83199999999999</v>
      </c>
      <c r="I267" s="46">
        <v>98</v>
      </c>
      <c r="J267" s="46">
        <v>22.953099999999999</v>
      </c>
      <c r="K267" s="47">
        <v>86.249899999999997</v>
      </c>
      <c r="L267" s="8">
        <v>252.446</v>
      </c>
      <c r="M267" s="22">
        <f t="shared" si="3"/>
        <v>0.30084941824747991</v>
      </c>
      <c r="N267" s="22">
        <f t="shared" si="4"/>
        <v>-0.94823223890331576</v>
      </c>
      <c r="O267" s="22">
        <f t="shared" si="5"/>
        <v>29.687865720074058</v>
      </c>
    </row>
    <row r="268" spans="1:15" ht="16">
      <c r="A268" s="16" t="s">
        <v>58</v>
      </c>
      <c r="B268" s="16" t="s">
        <v>57</v>
      </c>
      <c r="C268" s="66" t="s">
        <v>74</v>
      </c>
      <c r="D268" s="16">
        <v>40</v>
      </c>
      <c r="E268" s="16" t="s">
        <v>53</v>
      </c>
      <c r="F268" s="16">
        <v>91</v>
      </c>
      <c r="G268" s="16">
        <v>254</v>
      </c>
      <c r="H268" s="16">
        <v>137.084</v>
      </c>
      <c r="I268" s="16">
        <v>131</v>
      </c>
      <c r="J268" s="16">
        <v>33.792299999999997</v>
      </c>
      <c r="K268" s="47">
        <v>86.249899999999997</v>
      </c>
      <c r="L268" s="8">
        <v>252.446</v>
      </c>
      <c r="M268" s="22">
        <f t="shared" si="3"/>
        <v>0.30084941824747991</v>
      </c>
      <c r="N268" s="22">
        <f t="shared" si="4"/>
        <v>-0.94823223890331576</v>
      </c>
      <c r="O268" s="22">
        <f t="shared" si="5"/>
        <v>40.293409412134217</v>
      </c>
    </row>
    <row r="269" spans="1:15" ht="16">
      <c r="A269" s="16" t="s">
        <v>58</v>
      </c>
      <c r="B269" s="16" t="s">
        <v>57</v>
      </c>
      <c r="C269" s="66" t="s">
        <v>74</v>
      </c>
      <c r="D269" s="16">
        <v>40</v>
      </c>
      <c r="E269" s="16" t="s">
        <v>32</v>
      </c>
      <c r="F269" s="16">
        <v>91</v>
      </c>
      <c r="G269" s="16">
        <v>254</v>
      </c>
      <c r="H269" s="16">
        <v>136.19399999999999</v>
      </c>
      <c r="I269" s="16">
        <v>130</v>
      </c>
      <c r="J269" s="16">
        <v>33.308100000000003</v>
      </c>
      <c r="K269" s="47">
        <v>86.249899999999997</v>
      </c>
      <c r="L269" s="8">
        <v>252.446</v>
      </c>
      <c r="M269" s="22">
        <f t="shared" si="3"/>
        <v>0.30084941824747991</v>
      </c>
      <c r="N269" s="22">
        <f t="shared" si="4"/>
        <v>-0.94823223890331576</v>
      </c>
      <c r="O269" s="22">
        <f t="shared" si="5"/>
        <v>40.025653429893957</v>
      </c>
    </row>
    <row r="270" spans="1:15" ht="16">
      <c r="A270" s="16" t="s">
        <v>58</v>
      </c>
      <c r="B270" s="16" t="s">
        <v>57</v>
      </c>
      <c r="C270" s="66" t="s">
        <v>74</v>
      </c>
      <c r="D270" s="16">
        <v>40</v>
      </c>
      <c r="E270" s="16" t="s">
        <v>33</v>
      </c>
      <c r="F270" s="16">
        <v>91</v>
      </c>
      <c r="G270" s="16">
        <v>254</v>
      </c>
      <c r="H270" s="16">
        <v>139.53</v>
      </c>
      <c r="I270" s="16">
        <v>133</v>
      </c>
      <c r="J270" s="16">
        <v>35.783299999999997</v>
      </c>
      <c r="K270" s="47">
        <v>86.249899999999997</v>
      </c>
      <c r="L270" s="8">
        <v>252.446</v>
      </c>
      <c r="M270" s="22">
        <f t="shared" si="3"/>
        <v>0.30084941824747991</v>
      </c>
      <c r="N270" s="22">
        <f t="shared" si="4"/>
        <v>-0.94823223890331576</v>
      </c>
      <c r="O270" s="22">
        <f t="shared" si="5"/>
        <v>41.029287089167553</v>
      </c>
    </row>
    <row r="271" spans="1:15" ht="16">
      <c r="A271" s="16" t="s">
        <v>58</v>
      </c>
      <c r="B271" s="16" t="s">
        <v>57</v>
      </c>
      <c r="C271" s="66" t="s">
        <v>74</v>
      </c>
      <c r="D271" s="16">
        <v>40</v>
      </c>
      <c r="E271" s="16" t="s">
        <v>34</v>
      </c>
      <c r="F271" s="16">
        <v>91</v>
      </c>
      <c r="G271" s="16">
        <v>254</v>
      </c>
      <c r="H271" s="16">
        <v>142.21</v>
      </c>
      <c r="I271" s="16">
        <v>136</v>
      </c>
      <c r="J271" s="16">
        <v>37.892600000000002</v>
      </c>
      <c r="K271" s="47">
        <v>86.249899999999997</v>
      </c>
      <c r="L271" s="8">
        <v>252.446</v>
      </c>
      <c r="M271" s="22">
        <f t="shared" si="3"/>
        <v>0.30084941824747991</v>
      </c>
      <c r="N271" s="22">
        <f t="shared" si="4"/>
        <v>-0.94823223890331576</v>
      </c>
      <c r="O271" s="22">
        <f t="shared" si="5"/>
        <v>41.835563530070807</v>
      </c>
    </row>
    <row r="272" spans="1:15" ht="16">
      <c r="A272" s="16" t="s">
        <v>58</v>
      </c>
      <c r="B272" s="16" t="s">
        <v>57</v>
      </c>
      <c r="C272" s="66" t="s">
        <v>74</v>
      </c>
      <c r="D272" s="16">
        <v>40</v>
      </c>
      <c r="E272" s="16" t="s">
        <v>35</v>
      </c>
      <c r="F272" s="16">
        <v>91</v>
      </c>
      <c r="G272" s="16">
        <v>254</v>
      </c>
      <c r="H272" s="16">
        <v>141.27099999999999</v>
      </c>
      <c r="I272" s="16">
        <v>135</v>
      </c>
      <c r="J272" s="16">
        <v>36.788400000000003</v>
      </c>
      <c r="K272" s="47">
        <v>86.249899999999997</v>
      </c>
      <c r="L272" s="8">
        <v>252.446</v>
      </c>
      <c r="M272" s="22">
        <f t="shared" si="3"/>
        <v>0.30084941824747991</v>
      </c>
      <c r="N272" s="22">
        <f t="shared" si="4"/>
        <v>-0.94823223890331576</v>
      </c>
      <c r="O272" s="22">
        <f t="shared" si="5"/>
        <v>41.553065926336416</v>
      </c>
    </row>
    <row r="273" spans="1:15" ht="16">
      <c r="A273" s="6" t="s">
        <v>58</v>
      </c>
      <c r="B273" s="38" t="s">
        <v>20</v>
      </c>
      <c r="C273" s="38" t="s">
        <v>74</v>
      </c>
      <c r="D273" s="42">
        <v>34</v>
      </c>
      <c r="E273" s="6" t="s">
        <v>21</v>
      </c>
      <c r="F273" s="42">
        <v>83</v>
      </c>
      <c r="G273" s="42">
        <v>254</v>
      </c>
      <c r="H273" s="42">
        <v>127.139</v>
      </c>
      <c r="I273" s="42">
        <v>122</v>
      </c>
      <c r="J273" s="42">
        <v>32.325299999999999</v>
      </c>
      <c r="K273" s="47">
        <v>86.249899999999997</v>
      </c>
      <c r="L273" s="8">
        <v>252.446</v>
      </c>
      <c r="M273" s="22">
        <f t="shared" si="3"/>
        <v>0.30084941824747991</v>
      </c>
      <c r="N273" s="22">
        <f t="shared" si="4"/>
        <v>-0.94823223890331576</v>
      </c>
      <c r="O273" s="22">
        <f t="shared" si="5"/>
        <v>37.301461947663029</v>
      </c>
    </row>
    <row r="274" spans="1:15" ht="16">
      <c r="A274" s="6" t="s">
        <v>58</v>
      </c>
      <c r="B274" s="38" t="s">
        <v>20</v>
      </c>
      <c r="C274" s="38" t="s">
        <v>74</v>
      </c>
      <c r="D274" s="42">
        <v>34</v>
      </c>
      <c r="E274" s="6" t="s">
        <v>22</v>
      </c>
      <c r="F274" s="42">
        <v>83</v>
      </c>
      <c r="G274" s="42">
        <v>254</v>
      </c>
      <c r="H274" s="42">
        <v>126.79600000000001</v>
      </c>
      <c r="I274" s="42">
        <v>120</v>
      </c>
      <c r="J274" s="42">
        <v>32.210999999999999</v>
      </c>
      <c r="K274" s="47">
        <v>86.249899999999997</v>
      </c>
      <c r="L274" s="8">
        <v>252.446</v>
      </c>
      <c r="M274" s="22">
        <f t="shared" si="3"/>
        <v>0.30084941824747991</v>
      </c>
      <c r="N274" s="22">
        <f t="shared" si="4"/>
        <v>-0.94823223890331576</v>
      </c>
      <c r="O274" s="22">
        <f t="shared" si="5"/>
        <v>37.19827059720415</v>
      </c>
    </row>
    <row r="275" spans="1:15" ht="16">
      <c r="A275" s="6" t="s">
        <v>58</v>
      </c>
      <c r="B275" s="38" t="s">
        <v>20</v>
      </c>
      <c r="C275" s="38" t="s">
        <v>74</v>
      </c>
      <c r="D275" s="42">
        <v>34</v>
      </c>
      <c r="E275" s="6" t="s">
        <v>23</v>
      </c>
      <c r="F275" s="42">
        <v>83</v>
      </c>
      <c r="G275" s="42">
        <v>254</v>
      </c>
      <c r="H275" s="42">
        <v>123.581</v>
      </c>
      <c r="I275" s="42">
        <v>118</v>
      </c>
      <c r="J275" s="42">
        <v>29.713899999999999</v>
      </c>
      <c r="K275" s="47">
        <v>86.249899999999997</v>
      </c>
      <c r="L275" s="8">
        <v>252.446</v>
      </c>
      <c r="M275" s="22">
        <f t="shared" si="3"/>
        <v>0.30084941824747991</v>
      </c>
      <c r="N275" s="22">
        <f t="shared" si="4"/>
        <v>-0.94823223890331576</v>
      </c>
      <c r="O275" s="22">
        <f t="shared" si="5"/>
        <v>36.231039717538501</v>
      </c>
    </row>
    <row r="276" spans="1:15" ht="16">
      <c r="A276" s="6" t="s">
        <v>58</v>
      </c>
      <c r="B276" s="38" t="s">
        <v>20</v>
      </c>
      <c r="C276" s="38" t="s">
        <v>74</v>
      </c>
      <c r="D276" s="42">
        <v>34</v>
      </c>
      <c r="E276" s="6" t="s">
        <v>24</v>
      </c>
      <c r="F276" s="42">
        <v>83</v>
      </c>
      <c r="G276" s="42">
        <v>251</v>
      </c>
      <c r="H276" s="42">
        <v>118.396</v>
      </c>
      <c r="I276" s="42">
        <v>113</v>
      </c>
      <c r="J276" s="42">
        <v>26.192599999999999</v>
      </c>
      <c r="K276" s="47">
        <v>86.249899999999997</v>
      </c>
      <c r="L276" s="8">
        <v>252.446</v>
      </c>
      <c r="M276" s="22">
        <f t="shared" si="3"/>
        <v>0.30084941824747991</v>
      </c>
      <c r="N276" s="22">
        <f t="shared" si="4"/>
        <v>-0.94823223890331576</v>
      </c>
      <c r="O276" s="22">
        <f t="shared" si="5"/>
        <v>34.671135483925312</v>
      </c>
    </row>
    <row r="277" spans="1:15" ht="16">
      <c r="A277" s="6" t="s">
        <v>58</v>
      </c>
      <c r="B277" s="38" t="s">
        <v>20</v>
      </c>
      <c r="C277" s="38" t="s">
        <v>74</v>
      </c>
      <c r="D277" s="42">
        <v>34</v>
      </c>
      <c r="E277" s="6" t="s">
        <v>25</v>
      </c>
      <c r="F277" s="42">
        <v>83</v>
      </c>
      <c r="G277" s="42">
        <v>242</v>
      </c>
      <c r="H277" s="42">
        <v>115.172</v>
      </c>
      <c r="I277" s="42">
        <v>110</v>
      </c>
      <c r="J277" s="42">
        <v>24.154</v>
      </c>
      <c r="K277" s="47">
        <v>86.249899999999997</v>
      </c>
      <c r="L277" s="8">
        <v>252.446</v>
      </c>
      <c r="M277" s="22">
        <f t="shared" si="3"/>
        <v>0.30084941824747991</v>
      </c>
      <c r="N277" s="22">
        <f t="shared" si="4"/>
        <v>-0.94823223890331576</v>
      </c>
      <c r="O277" s="22">
        <f t="shared" si="5"/>
        <v>33.701196959495441</v>
      </c>
    </row>
    <row r="278" spans="1:15" ht="16">
      <c r="A278" s="13" t="s">
        <v>58</v>
      </c>
      <c r="B278" s="39" t="s">
        <v>20</v>
      </c>
      <c r="C278" s="39" t="s">
        <v>74</v>
      </c>
      <c r="D278" s="43">
        <v>34</v>
      </c>
      <c r="E278" s="13" t="s">
        <v>52</v>
      </c>
      <c r="F278" s="48">
        <v>79</v>
      </c>
      <c r="G278" s="48">
        <v>241</v>
      </c>
      <c r="H278" s="48">
        <v>104.926</v>
      </c>
      <c r="I278" s="48">
        <v>101</v>
      </c>
      <c r="J278" s="48">
        <v>19.175599999999999</v>
      </c>
      <c r="K278" s="47">
        <v>86.249899999999997</v>
      </c>
      <c r="L278" s="8">
        <v>252.446</v>
      </c>
      <c r="M278" s="22">
        <f t="shared" si="3"/>
        <v>0.30084941824747991</v>
      </c>
      <c r="N278" s="22">
        <f t="shared" si="4"/>
        <v>-0.94823223890331576</v>
      </c>
      <c r="O278" s="22">
        <f t="shared" si="5"/>
        <v>30.61869382013176</v>
      </c>
    </row>
    <row r="279" spans="1:15" ht="16">
      <c r="A279" s="13" t="s">
        <v>58</v>
      </c>
      <c r="B279" s="39" t="s">
        <v>20</v>
      </c>
      <c r="C279" s="39" t="s">
        <v>74</v>
      </c>
      <c r="D279" s="43">
        <v>34</v>
      </c>
      <c r="E279" s="13" t="s">
        <v>27</v>
      </c>
      <c r="F279" s="48">
        <v>79</v>
      </c>
      <c r="G279" s="48">
        <v>254</v>
      </c>
      <c r="H279" s="48">
        <v>105.185</v>
      </c>
      <c r="I279" s="48">
        <v>101</v>
      </c>
      <c r="J279" s="48">
        <v>19.724499999999999</v>
      </c>
      <c r="K279" s="47">
        <v>86.249899999999997</v>
      </c>
      <c r="L279" s="8">
        <v>252.446</v>
      </c>
      <c r="M279" s="22">
        <f t="shared" si="3"/>
        <v>0.30084941824747991</v>
      </c>
      <c r="N279" s="22">
        <f t="shared" si="4"/>
        <v>-0.94823223890331576</v>
      </c>
      <c r="O279" s="22">
        <f t="shared" si="5"/>
        <v>30.696613819457859</v>
      </c>
    </row>
    <row r="280" spans="1:15" ht="16">
      <c r="A280" s="13" t="s">
        <v>58</v>
      </c>
      <c r="B280" s="39" t="s">
        <v>20</v>
      </c>
      <c r="C280" s="39" t="s">
        <v>74</v>
      </c>
      <c r="D280" s="43">
        <v>34</v>
      </c>
      <c r="E280" s="13" t="s">
        <v>28</v>
      </c>
      <c r="F280" s="48">
        <v>79</v>
      </c>
      <c r="G280" s="48">
        <v>224</v>
      </c>
      <c r="H280" s="48">
        <v>106.116</v>
      </c>
      <c r="I280" s="48">
        <v>102</v>
      </c>
      <c r="J280" s="48">
        <v>19.919499999999999</v>
      </c>
      <c r="K280" s="47">
        <v>86.249899999999997</v>
      </c>
      <c r="L280" s="8">
        <v>252.446</v>
      </c>
      <c r="M280" s="22">
        <f t="shared" si="3"/>
        <v>0.30084941824747991</v>
      </c>
      <c r="N280" s="22">
        <f t="shared" si="4"/>
        <v>-0.94823223890331576</v>
      </c>
      <c r="O280" s="22">
        <f t="shared" si="5"/>
        <v>30.97670462784626</v>
      </c>
    </row>
    <row r="281" spans="1:15" ht="16">
      <c r="A281" s="13" t="s">
        <v>58</v>
      </c>
      <c r="B281" s="39" t="s">
        <v>20</v>
      </c>
      <c r="C281" s="39" t="s">
        <v>74</v>
      </c>
      <c r="D281" s="43">
        <v>34</v>
      </c>
      <c r="E281" s="13" t="s">
        <v>29</v>
      </c>
      <c r="F281" s="48">
        <v>79</v>
      </c>
      <c r="G281" s="48">
        <v>254</v>
      </c>
      <c r="H281" s="48">
        <v>107.21899999999999</v>
      </c>
      <c r="I281" s="48">
        <v>103</v>
      </c>
      <c r="J281" s="48">
        <v>21.391200000000001</v>
      </c>
      <c r="K281" s="47">
        <v>86.249899999999997</v>
      </c>
      <c r="L281" s="8">
        <v>252.446</v>
      </c>
      <c r="M281" s="22">
        <f t="shared" si="3"/>
        <v>0.30084941824747991</v>
      </c>
      <c r="N281" s="22">
        <f t="shared" si="4"/>
        <v>-0.94823223890331576</v>
      </c>
      <c r="O281" s="22">
        <f t="shared" si="5"/>
        <v>31.30854153617323</v>
      </c>
    </row>
    <row r="282" spans="1:15" ht="16">
      <c r="A282" s="13" t="s">
        <v>58</v>
      </c>
      <c r="B282" s="39" t="s">
        <v>20</v>
      </c>
      <c r="C282" s="39" t="s">
        <v>74</v>
      </c>
      <c r="D282" s="43">
        <v>34</v>
      </c>
      <c r="E282" s="13" t="s">
        <v>30</v>
      </c>
      <c r="F282" s="48">
        <v>79</v>
      </c>
      <c r="G282" s="48">
        <v>231</v>
      </c>
      <c r="H282" s="48">
        <v>105.331</v>
      </c>
      <c r="I282" s="48">
        <v>101</v>
      </c>
      <c r="J282" s="48">
        <v>19.954699999999999</v>
      </c>
      <c r="K282" s="47">
        <v>86.249899999999997</v>
      </c>
      <c r="L282" s="8">
        <v>252.446</v>
      </c>
      <c r="M282" s="22">
        <f t="shared" si="3"/>
        <v>0.30084941824747991</v>
      </c>
      <c r="N282" s="22">
        <f t="shared" si="4"/>
        <v>-0.94823223890331576</v>
      </c>
      <c r="O282" s="22">
        <f t="shared" si="5"/>
        <v>30.740537834521991</v>
      </c>
    </row>
    <row r="283" spans="1:15" ht="16">
      <c r="A283" s="16" t="s">
        <v>58</v>
      </c>
      <c r="B283" s="49" t="s">
        <v>20</v>
      </c>
      <c r="C283" s="49" t="s">
        <v>74</v>
      </c>
      <c r="D283" s="50">
        <v>34</v>
      </c>
      <c r="E283" s="16" t="s">
        <v>53</v>
      </c>
      <c r="F283" s="50">
        <v>92</v>
      </c>
      <c r="G283" s="50">
        <v>254</v>
      </c>
      <c r="H283" s="50">
        <v>136.58500000000001</v>
      </c>
      <c r="I283" s="50">
        <v>131</v>
      </c>
      <c r="J283" s="50">
        <v>32.536200000000001</v>
      </c>
      <c r="K283" s="47">
        <v>86.249899999999997</v>
      </c>
      <c r="L283" s="8">
        <v>252.446</v>
      </c>
      <c r="M283" s="22">
        <f t="shared" si="3"/>
        <v>0.30084941824747991</v>
      </c>
      <c r="N283" s="22">
        <f t="shared" si="4"/>
        <v>-0.94823223890331576</v>
      </c>
      <c r="O283" s="22">
        <f t="shared" si="5"/>
        <v>40.143285552428729</v>
      </c>
    </row>
    <row r="284" spans="1:15" ht="16">
      <c r="A284" s="16" t="s">
        <v>58</v>
      </c>
      <c r="B284" s="49" t="s">
        <v>20</v>
      </c>
      <c r="C284" s="49" t="s">
        <v>74</v>
      </c>
      <c r="D284" s="50">
        <v>34</v>
      </c>
      <c r="E284" s="16" t="s">
        <v>32</v>
      </c>
      <c r="F284" s="50">
        <v>92</v>
      </c>
      <c r="G284" s="50">
        <v>254</v>
      </c>
      <c r="H284" s="50">
        <v>137.42400000000001</v>
      </c>
      <c r="I284" s="50">
        <v>132</v>
      </c>
      <c r="J284" s="50">
        <v>33.194600000000001</v>
      </c>
      <c r="K284" s="47">
        <v>86.249899999999997</v>
      </c>
      <c r="L284" s="8">
        <v>252.446</v>
      </c>
      <c r="M284" s="22">
        <f t="shared" si="3"/>
        <v>0.30084941824747991</v>
      </c>
      <c r="N284" s="22">
        <f t="shared" si="4"/>
        <v>-0.94823223890331576</v>
      </c>
      <c r="O284" s="22">
        <f t="shared" si="5"/>
        <v>40.395698214338367</v>
      </c>
    </row>
    <row r="285" spans="1:15" ht="16">
      <c r="A285" s="16" t="s">
        <v>58</v>
      </c>
      <c r="B285" s="49" t="s">
        <v>20</v>
      </c>
      <c r="C285" s="49" t="s">
        <v>74</v>
      </c>
      <c r="D285" s="50">
        <v>34</v>
      </c>
      <c r="E285" s="16" t="s">
        <v>33</v>
      </c>
      <c r="F285" s="50">
        <v>92</v>
      </c>
      <c r="G285" s="50">
        <v>254</v>
      </c>
      <c r="H285" s="50">
        <v>138.34800000000001</v>
      </c>
      <c r="I285" s="50">
        <v>132</v>
      </c>
      <c r="J285" s="50">
        <v>34.318399999999997</v>
      </c>
      <c r="K285" s="47">
        <v>86.249899999999997</v>
      </c>
      <c r="L285" s="8">
        <v>252.446</v>
      </c>
      <c r="M285" s="22">
        <f t="shared" si="3"/>
        <v>0.30084941824747991</v>
      </c>
      <c r="N285" s="22">
        <f t="shared" si="4"/>
        <v>-0.94823223890331576</v>
      </c>
      <c r="O285" s="22">
        <f t="shared" si="5"/>
        <v>40.673683076799037</v>
      </c>
    </row>
    <row r="286" spans="1:15" ht="16">
      <c r="A286" s="16" t="s">
        <v>58</v>
      </c>
      <c r="B286" s="49" t="s">
        <v>20</v>
      </c>
      <c r="C286" s="49" t="s">
        <v>74</v>
      </c>
      <c r="D286" s="50">
        <v>34</v>
      </c>
      <c r="E286" s="16" t="s">
        <v>34</v>
      </c>
      <c r="F286" s="50">
        <v>92</v>
      </c>
      <c r="G286" s="50">
        <v>254</v>
      </c>
      <c r="H286" s="50">
        <v>140.74299999999999</v>
      </c>
      <c r="I286" s="50">
        <v>134</v>
      </c>
      <c r="J286" s="50">
        <v>35.6526</v>
      </c>
      <c r="K286" s="47">
        <v>86.249899999999997</v>
      </c>
      <c r="L286" s="8">
        <v>252.446</v>
      </c>
      <c r="M286" s="22">
        <f t="shared" si="3"/>
        <v>0.30084941824747991</v>
      </c>
      <c r="N286" s="22">
        <f t="shared" si="4"/>
        <v>-0.94823223890331576</v>
      </c>
      <c r="O286" s="22">
        <f t="shared" si="5"/>
        <v>41.394217433501744</v>
      </c>
    </row>
    <row r="287" spans="1:15" ht="16">
      <c r="A287" s="16" t="s">
        <v>58</v>
      </c>
      <c r="B287" s="49" t="s">
        <v>20</v>
      </c>
      <c r="C287" s="49" t="s">
        <v>74</v>
      </c>
      <c r="D287" s="50">
        <v>34</v>
      </c>
      <c r="E287" s="16" t="s">
        <v>35</v>
      </c>
      <c r="F287" s="50">
        <v>92</v>
      </c>
      <c r="G287" s="50">
        <v>254</v>
      </c>
      <c r="H287" s="50">
        <v>140.03200000000001</v>
      </c>
      <c r="I287" s="50">
        <v>133</v>
      </c>
      <c r="J287" s="50">
        <v>35.697699999999998</v>
      </c>
      <c r="K287" s="47">
        <v>86.249899999999997</v>
      </c>
      <c r="L287" s="8">
        <v>252.446</v>
      </c>
      <c r="M287" s="22">
        <f t="shared" si="3"/>
        <v>0.30084941824747991</v>
      </c>
      <c r="N287" s="22">
        <f t="shared" si="4"/>
        <v>-0.94823223890331576</v>
      </c>
      <c r="O287" s="22">
        <f t="shared" si="5"/>
        <v>41.180313497127791</v>
      </c>
    </row>
    <row r="288" spans="1:15" ht="16">
      <c r="A288" s="6" t="s">
        <v>59</v>
      </c>
      <c r="B288" s="38" t="s">
        <v>60</v>
      </c>
      <c r="C288" s="38" t="s">
        <v>76</v>
      </c>
      <c r="D288" s="42">
        <v>75</v>
      </c>
      <c r="E288" s="38" t="s">
        <v>21</v>
      </c>
      <c r="F288" s="42">
        <v>31</v>
      </c>
      <c r="G288" s="42">
        <v>195</v>
      </c>
      <c r="H288" s="42">
        <v>107.7</v>
      </c>
      <c r="I288" s="42">
        <v>104</v>
      </c>
      <c r="J288" s="42">
        <v>29.6721</v>
      </c>
      <c r="K288" s="47">
        <v>49.475200000000001</v>
      </c>
      <c r="L288" s="47">
        <v>123.51300000000001</v>
      </c>
      <c r="M288" s="22">
        <f t="shared" si="3"/>
        <v>0.67533070944841689</v>
      </c>
      <c r="N288" s="22">
        <f t="shared" si="4"/>
        <v>-8.4121219161023149</v>
      </c>
      <c r="O288" s="22">
        <f t="shared" si="5"/>
        <v>64.320995491492198</v>
      </c>
    </row>
    <row r="289" spans="1:15" ht="16">
      <c r="A289" s="6" t="s">
        <v>59</v>
      </c>
      <c r="B289" s="38" t="s">
        <v>60</v>
      </c>
      <c r="C289" s="38" t="s">
        <v>76</v>
      </c>
      <c r="D289" s="42">
        <v>75</v>
      </c>
      <c r="E289" s="38" t="s">
        <v>22</v>
      </c>
      <c r="F289" s="42">
        <v>63</v>
      </c>
      <c r="G289" s="42">
        <v>196</v>
      </c>
      <c r="H289" s="42">
        <v>105.41200000000001</v>
      </c>
      <c r="I289" s="42">
        <v>101</v>
      </c>
      <c r="J289" s="42">
        <v>28.812799999999999</v>
      </c>
      <c r="K289" s="47">
        <v>49.475200000000001</v>
      </c>
      <c r="L289" s="47">
        <v>123.51300000000001</v>
      </c>
      <c r="M289" s="22">
        <f t="shared" si="3"/>
        <v>0.67533070944841689</v>
      </c>
      <c r="N289" s="22">
        <f t="shared" si="4"/>
        <v>-8.4121219161023149</v>
      </c>
      <c r="O289" s="22">
        <f t="shared" si="5"/>
        <v>62.77583882827421</v>
      </c>
    </row>
    <row r="290" spans="1:15" ht="16">
      <c r="A290" s="6" t="s">
        <v>59</v>
      </c>
      <c r="B290" s="38" t="s">
        <v>60</v>
      </c>
      <c r="C290" s="38" t="s">
        <v>76</v>
      </c>
      <c r="D290" s="42">
        <v>75</v>
      </c>
      <c r="E290" s="38" t="s">
        <v>23</v>
      </c>
      <c r="F290" s="42">
        <v>43</v>
      </c>
      <c r="G290" s="42">
        <v>203</v>
      </c>
      <c r="H290" s="42">
        <v>103.715</v>
      </c>
      <c r="I290" s="42">
        <v>99</v>
      </c>
      <c r="J290" s="42">
        <v>28.7011</v>
      </c>
      <c r="K290" s="47">
        <v>49.475200000000001</v>
      </c>
      <c r="L290" s="47">
        <v>123.51300000000001</v>
      </c>
      <c r="M290" s="22">
        <f t="shared" si="3"/>
        <v>0.67533070944841689</v>
      </c>
      <c r="N290" s="22">
        <f t="shared" si="4"/>
        <v>-8.4121219161023149</v>
      </c>
      <c r="O290" s="22">
        <f t="shared" si="5"/>
        <v>61.629802614340242</v>
      </c>
    </row>
    <row r="291" spans="1:15" ht="16">
      <c r="A291" s="6" t="s">
        <v>59</v>
      </c>
      <c r="B291" s="38" t="s">
        <v>60</v>
      </c>
      <c r="C291" s="38" t="s">
        <v>76</v>
      </c>
      <c r="D291" s="42">
        <v>75</v>
      </c>
      <c r="E291" s="38" t="s">
        <v>24</v>
      </c>
      <c r="F291" s="42">
        <v>63</v>
      </c>
      <c r="G291" s="42">
        <v>185</v>
      </c>
      <c r="H291" s="42">
        <v>100.09699999999999</v>
      </c>
      <c r="I291" s="42">
        <v>96</v>
      </c>
      <c r="J291" s="42">
        <v>25.360299999999999</v>
      </c>
      <c r="K291" s="47">
        <v>49.475200000000001</v>
      </c>
      <c r="L291" s="47">
        <v>123.51300000000001</v>
      </c>
      <c r="M291" s="22">
        <f t="shared" si="3"/>
        <v>0.67533070944841689</v>
      </c>
      <c r="N291" s="22">
        <f t="shared" si="4"/>
        <v>-8.4121219161023149</v>
      </c>
      <c r="O291" s="22">
        <f t="shared" si="5"/>
        <v>59.186456107555863</v>
      </c>
    </row>
    <row r="292" spans="1:15" ht="16">
      <c r="A292" s="6" t="s">
        <v>59</v>
      </c>
      <c r="B292" s="38" t="s">
        <v>60</v>
      </c>
      <c r="C292" s="38" t="s">
        <v>76</v>
      </c>
      <c r="D292" s="42">
        <v>75</v>
      </c>
      <c r="E292" s="38" t="s">
        <v>25</v>
      </c>
      <c r="F292" s="42">
        <v>63</v>
      </c>
      <c r="G292" s="42">
        <v>179</v>
      </c>
      <c r="H292" s="42">
        <v>97.013800000000003</v>
      </c>
      <c r="I292" s="42">
        <v>93</v>
      </c>
      <c r="J292" s="42">
        <v>23.5076</v>
      </c>
      <c r="K292" s="47">
        <v>49.475200000000001</v>
      </c>
      <c r="L292" s="47">
        <v>123.51300000000001</v>
      </c>
      <c r="M292" s="22">
        <f t="shared" si="3"/>
        <v>0.67533070944841689</v>
      </c>
      <c r="N292" s="22">
        <f t="shared" si="4"/>
        <v>-8.4121219161023149</v>
      </c>
      <c r="O292" s="22">
        <f t="shared" si="5"/>
        <v>57.104276464184515</v>
      </c>
    </row>
    <row r="293" spans="1:15" ht="16">
      <c r="A293" s="13" t="s">
        <v>59</v>
      </c>
      <c r="B293" s="39" t="s">
        <v>60</v>
      </c>
      <c r="C293" s="39" t="s">
        <v>76</v>
      </c>
      <c r="D293" s="43">
        <v>75</v>
      </c>
      <c r="E293" s="39" t="s">
        <v>26</v>
      </c>
      <c r="F293" s="48">
        <v>37</v>
      </c>
      <c r="G293" s="48">
        <v>143</v>
      </c>
      <c r="H293" s="48">
        <v>67.017099999999999</v>
      </c>
      <c r="I293" s="13">
        <v>63</v>
      </c>
      <c r="J293" s="13">
        <v>19.783899999999999</v>
      </c>
      <c r="K293" s="47">
        <v>49.475200000000001</v>
      </c>
      <c r="L293" s="47">
        <v>123.51300000000001</v>
      </c>
      <c r="M293" s="22">
        <f t="shared" si="3"/>
        <v>0.67533070944841689</v>
      </c>
      <c r="N293" s="22">
        <f t="shared" si="4"/>
        <v>-8.4121219161023149</v>
      </c>
      <c r="O293" s="22">
        <f t="shared" si="5"/>
        <v>36.846583772073181</v>
      </c>
    </row>
    <row r="294" spans="1:15" ht="16">
      <c r="A294" s="13" t="s">
        <v>59</v>
      </c>
      <c r="B294" s="39" t="s">
        <v>60</v>
      </c>
      <c r="C294" s="39" t="s">
        <v>76</v>
      </c>
      <c r="D294" s="43">
        <v>75</v>
      </c>
      <c r="E294" s="39" t="s">
        <v>27</v>
      </c>
      <c r="F294" s="48">
        <v>37</v>
      </c>
      <c r="G294" s="48">
        <v>150</v>
      </c>
      <c r="H294" s="48">
        <v>67.928299999999993</v>
      </c>
      <c r="I294" s="13">
        <v>64</v>
      </c>
      <c r="J294" s="13">
        <v>20.342400000000001</v>
      </c>
      <c r="K294" s="47">
        <v>49.475200000000001</v>
      </c>
      <c r="L294" s="47">
        <v>123.51300000000001</v>
      </c>
      <c r="M294" s="22">
        <f t="shared" si="3"/>
        <v>0.67533070944841689</v>
      </c>
      <c r="N294" s="22">
        <f t="shared" si="4"/>
        <v>-8.4121219161023149</v>
      </c>
      <c r="O294" s="22">
        <f t="shared" si="5"/>
        <v>37.461945114522578</v>
      </c>
    </row>
    <row r="295" spans="1:15" ht="16">
      <c r="A295" s="13" t="s">
        <v>59</v>
      </c>
      <c r="B295" s="39" t="s">
        <v>60</v>
      </c>
      <c r="C295" s="39" t="s">
        <v>76</v>
      </c>
      <c r="D295" s="43">
        <v>75</v>
      </c>
      <c r="E295" s="39" t="s">
        <v>28</v>
      </c>
      <c r="F295" s="48">
        <v>37</v>
      </c>
      <c r="G295" s="48">
        <v>149</v>
      </c>
      <c r="H295" s="48">
        <v>67.588099999999997</v>
      </c>
      <c r="I295" s="13">
        <v>64</v>
      </c>
      <c r="J295" s="13">
        <v>20.1568</v>
      </c>
      <c r="K295" s="47">
        <v>49.475200000000001</v>
      </c>
      <c r="L295" s="47">
        <v>123.51300000000001</v>
      </c>
      <c r="M295" s="22">
        <f t="shared" si="3"/>
        <v>0.67533070944841689</v>
      </c>
      <c r="N295" s="22">
        <f t="shared" si="4"/>
        <v>-8.4121219161023149</v>
      </c>
      <c r="O295" s="22">
        <f t="shared" si="5"/>
        <v>37.232197607168231</v>
      </c>
    </row>
    <row r="296" spans="1:15" ht="16">
      <c r="A296" s="13" t="s">
        <v>59</v>
      </c>
      <c r="B296" s="39" t="s">
        <v>60</v>
      </c>
      <c r="C296" s="39" t="s">
        <v>76</v>
      </c>
      <c r="D296" s="43">
        <v>75</v>
      </c>
      <c r="E296" s="39" t="s">
        <v>29</v>
      </c>
      <c r="F296" s="48">
        <v>40</v>
      </c>
      <c r="G296" s="48">
        <v>145</v>
      </c>
      <c r="H296" s="48">
        <v>67.602400000000003</v>
      </c>
      <c r="I296" s="13">
        <v>63</v>
      </c>
      <c r="J296" s="13">
        <v>20.110700000000001</v>
      </c>
      <c r="K296" s="47">
        <v>49.475200000000001</v>
      </c>
      <c r="L296" s="47">
        <v>123.51300000000001</v>
      </c>
      <c r="M296" s="22">
        <f t="shared" si="3"/>
        <v>0.67533070944841689</v>
      </c>
      <c r="N296" s="22">
        <f t="shared" si="4"/>
        <v>-8.4121219161023149</v>
      </c>
      <c r="O296" s="22">
        <f t="shared" si="5"/>
        <v>37.241854836313344</v>
      </c>
    </row>
    <row r="297" spans="1:15" ht="16">
      <c r="A297" s="13" t="s">
        <v>59</v>
      </c>
      <c r="B297" s="39" t="s">
        <v>60</v>
      </c>
      <c r="C297" s="39" t="s">
        <v>76</v>
      </c>
      <c r="D297" s="43">
        <v>75</v>
      </c>
      <c r="E297" s="39" t="s">
        <v>30</v>
      </c>
      <c r="F297" s="48">
        <v>37</v>
      </c>
      <c r="G297" s="48">
        <v>147</v>
      </c>
      <c r="H297" s="48">
        <v>67.401799999999994</v>
      </c>
      <c r="I297" s="13">
        <v>63</v>
      </c>
      <c r="J297" s="13">
        <v>20.083600000000001</v>
      </c>
      <c r="K297" s="47">
        <v>49.475200000000001</v>
      </c>
      <c r="L297" s="47">
        <v>123.51300000000001</v>
      </c>
      <c r="M297" s="22">
        <f t="shared" si="3"/>
        <v>0.67533070944841689</v>
      </c>
      <c r="N297" s="22">
        <f t="shared" si="4"/>
        <v>-8.4121219161023149</v>
      </c>
      <c r="O297" s="22">
        <f t="shared" si="5"/>
        <v>37.106383495997989</v>
      </c>
    </row>
    <row r="298" spans="1:15" ht="16">
      <c r="A298" s="16" t="s">
        <v>59</v>
      </c>
      <c r="B298" s="49" t="s">
        <v>60</v>
      </c>
      <c r="C298" s="49" t="s">
        <v>76</v>
      </c>
      <c r="D298" s="50">
        <v>75</v>
      </c>
      <c r="E298" s="49" t="s">
        <v>31</v>
      </c>
      <c r="F298" s="50">
        <v>53</v>
      </c>
      <c r="G298" s="50">
        <v>199</v>
      </c>
      <c r="H298" s="50">
        <v>97.677499999999995</v>
      </c>
      <c r="I298" s="50">
        <v>93</v>
      </c>
      <c r="J298" s="50">
        <v>31.2332</v>
      </c>
      <c r="K298" s="47">
        <v>49.475200000000001</v>
      </c>
      <c r="L298" s="47">
        <v>123.51300000000001</v>
      </c>
      <c r="M298" s="22">
        <f t="shared" si="3"/>
        <v>0.67533070944841689</v>
      </c>
      <c r="N298" s="22">
        <f t="shared" si="4"/>
        <v>-8.4121219161023149</v>
      </c>
      <c r="O298" s="22">
        <f t="shared" si="5"/>
        <v>57.552493456045418</v>
      </c>
    </row>
    <row r="299" spans="1:15" ht="16">
      <c r="A299" s="16" t="s">
        <v>59</v>
      </c>
      <c r="B299" s="49" t="s">
        <v>60</v>
      </c>
      <c r="C299" s="49" t="s">
        <v>76</v>
      </c>
      <c r="D299" s="50">
        <v>75</v>
      </c>
      <c r="E299" s="49" t="s">
        <v>32</v>
      </c>
      <c r="F299" s="50">
        <v>53</v>
      </c>
      <c r="G299" s="50">
        <v>197</v>
      </c>
      <c r="H299" s="50">
        <v>95.823499999999996</v>
      </c>
      <c r="I299" s="50">
        <v>91</v>
      </c>
      <c r="J299" s="50">
        <v>30.8399</v>
      </c>
      <c r="K299" s="47">
        <v>49.475200000000001</v>
      </c>
      <c r="L299" s="47">
        <v>123.51300000000001</v>
      </c>
      <c r="M299" s="22">
        <f t="shared" si="3"/>
        <v>0.67533070944841689</v>
      </c>
      <c r="N299" s="22">
        <f t="shared" si="4"/>
        <v>-8.4121219161023149</v>
      </c>
      <c r="O299" s="22">
        <f t="shared" si="5"/>
        <v>56.300430320728061</v>
      </c>
    </row>
    <row r="300" spans="1:15" ht="16">
      <c r="A300" s="16" t="s">
        <v>59</v>
      </c>
      <c r="B300" s="49" t="s">
        <v>60</v>
      </c>
      <c r="C300" s="49" t="s">
        <v>76</v>
      </c>
      <c r="D300" s="50">
        <v>75</v>
      </c>
      <c r="E300" s="49" t="s">
        <v>33</v>
      </c>
      <c r="F300" s="50">
        <v>53</v>
      </c>
      <c r="G300" s="50">
        <v>207</v>
      </c>
      <c r="H300" s="50">
        <v>92.695800000000006</v>
      </c>
      <c r="I300" s="50">
        <v>87</v>
      </c>
      <c r="J300" s="50">
        <v>28.979800000000001</v>
      </c>
      <c r="K300" s="47">
        <v>49.475200000000001</v>
      </c>
      <c r="L300" s="47">
        <v>123.51300000000001</v>
      </c>
      <c r="M300" s="22">
        <f t="shared" si="3"/>
        <v>0.67533070944841689</v>
      </c>
      <c r="N300" s="22">
        <f t="shared" si="4"/>
        <v>-8.4121219161023149</v>
      </c>
      <c r="O300" s="22">
        <f t="shared" si="5"/>
        <v>54.188198460786253</v>
      </c>
    </row>
    <row r="301" spans="1:15" ht="16">
      <c r="A301" s="16" t="s">
        <v>59</v>
      </c>
      <c r="B301" s="49" t="s">
        <v>60</v>
      </c>
      <c r="C301" s="49" t="s">
        <v>76</v>
      </c>
      <c r="D301" s="50">
        <v>75</v>
      </c>
      <c r="E301" s="49" t="s">
        <v>34</v>
      </c>
      <c r="F301" s="50">
        <v>53</v>
      </c>
      <c r="G301" s="50">
        <v>206</v>
      </c>
      <c r="H301" s="50">
        <v>92.4114</v>
      </c>
      <c r="I301" s="50">
        <v>86</v>
      </c>
      <c r="J301" s="50">
        <v>29.055599999999998</v>
      </c>
      <c r="K301" s="47">
        <v>49.475200000000001</v>
      </c>
      <c r="L301" s="47">
        <v>123.51300000000001</v>
      </c>
      <c r="M301" s="22">
        <f t="shared" si="3"/>
        <v>0.67533070944841689</v>
      </c>
      <c r="N301" s="22">
        <f t="shared" si="4"/>
        <v>-8.4121219161023149</v>
      </c>
      <c r="O301" s="22">
        <f t="shared" si="5"/>
        <v>53.99613440701912</v>
      </c>
    </row>
    <row r="302" spans="1:15" ht="16">
      <c r="A302" s="16" t="s">
        <v>59</v>
      </c>
      <c r="B302" s="49" t="s">
        <v>60</v>
      </c>
      <c r="C302" s="49" t="s">
        <v>76</v>
      </c>
      <c r="D302" s="50">
        <v>75</v>
      </c>
      <c r="E302" s="49" t="s">
        <v>35</v>
      </c>
      <c r="F302" s="50">
        <v>53</v>
      </c>
      <c r="G302" s="50">
        <v>195</v>
      </c>
      <c r="H302" s="50">
        <v>91.453199999999995</v>
      </c>
      <c r="I302" s="50">
        <v>85</v>
      </c>
      <c r="J302" s="50">
        <v>28.8415</v>
      </c>
      <c r="K302" s="47">
        <v>49.475200000000001</v>
      </c>
      <c r="L302" s="47">
        <v>123.51300000000001</v>
      </c>
      <c r="M302" s="22">
        <f t="shared" si="3"/>
        <v>0.67533070944841689</v>
      </c>
      <c r="N302" s="22">
        <f t="shared" si="4"/>
        <v>-8.4121219161023149</v>
      </c>
      <c r="O302" s="22">
        <f t="shared" si="5"/>
        <v>53.349032521225638</v>
      </c>
    </row>
    <row r="303" spans="1:15" ht="16">
      <c r="A303" s="6" t="s">
        <v>61</v>
      </c>
      <c r="B303" s="6" t="s">
        <v>62</v>
      </c>
      <c r="C303" s="64" t="s">
        <v>76</v>
      </c>
      <c r="D303" s="6">
        <v>75</v>
      </c>
      <c r="E303" s="6" t="s">
        <v>21</v>
      </c>
      <c r="F303" s="6">
        <v>51</v>
      </c>
      <c r="G303" s="6">
        <v>158</v>
      </c>
      <c r="H303" s="6">
        <v>85.605599999999995</v>
      </c>
      <c r="I303" s="6">
        <v>83</v>
      </c>
      <c r="J303" s="6">
        <v>22.915500000000002</v>
      </c>
      <c r="K303" s="8">
        <v>49.161099999999998</v>
      </c>
      <c r="L303" s="8">
        <v>121.755</v>
      </c>
      <c r="M303" s="22">
        <f t="shared" si="3"/>
        <v>0.68876310543998887</v>
      </c>
      <c r="N303" s="22">
        <f t="shared" si="4"/>
        <v>-8.8603519028458351</v>
      </c>
      <c r="O303" s="22">
        <f t="shared" si="5"/>
        <v>50.101626996207671</v>
      </c>
    </row>
    <row r="304" spans="1:15" ht="16">
      <c r="A304" s="6" t="s">
        <v>61</v>
      </c>
      <c r="B304" s="6" t="s">
        <v>62</v>
      </c>
      <c r="C304" s="64" t="s">
        <v>76</v>
      </c>
      <c r="D304" s="6">
        <v>75</v>
      </c>
      <c r="E304" s="6" t="s">
        <v>22</v>
      </c>
      <c r="F304" s="6">
        <v>51</v>
      </c>
      <c r="G304" s="6">
        <v>168</v>
      </c>
      <c r="H304" s="6">
        <v>83.427300000000002</v>
      </c>
      <c r="I304" s="6">
        <v>80</v>
      </c>
      <c r="J304" s="6">
        <v>22.7684</v>
      </c>
      <c r="K304" s="8">
        <v>49.161099999999998</v>
      </c>
      <c r="L304" s="8">
        <v>121.755</v>
      </c>
      <c r="M304" s="22">
        <f t="shared" si="3"/>
        <v>0.68876310543998887</v>
      </c>
      <c r="N304" s="22">
        <f t="shared" si="4"/>
        <v>-8.8603519028458351</v>
      </c>
      <c r="O304" s="22">
        <f t="shared" si="5"/>
        <v>48.601294323627748</v>
      </c>
    </row>
    <row r="305" spans="1:15" ht="16">
      <c r="A305" s="6" t="s">
        <v>61</v>
      </c>
      <c r="B305" s="6" t="s">
        <v>62</v>
      </c>
      <c r="C305" s="64" t="s">
        <v>76</v>
      </c>
      <c r="D305" s="6">
        <v>75</v>
      </c>
      <c r="E305" s="6" t="s">
        <v>23</v>
      </c>
      <c r="F305" s="6">
        <v>51</v>
      </c>
      <c r="G305" s="6">
        <v>173</v>
      </c>
      <c r="H305" s="6">
        <v>82.207400000000007</v>
      </c>
      <c r="I305" s="6">
        <v>78</v>
      </c>
      <c r="J305" s="6">
        <v>21.779199999999999</v>
      </c>
      <c r="K305" s="8">
        <v>49.161099999999998</v>
      </c>
      <c r="L305" s="8">
        <v>121.755</v>
      </c>
      <c r="M305" s="22">
        <f t="shared" si="3"/>
        <v>0.68876310543998887</v>
      </c>
      <c r="N305" s="22">
        <f t="shared" si="4"/>
        <v>-8.8603519028458351</v>
      </c>
      <c r="O305" s="22">
        <f t="shared" si="5"/>
        <v>47.76107221130151</v>
      </c>
    </row>
    <row r="306" spans="1:15" ht="16">
      <c r="A306" s="6" t="s">
        <v>61</v>
      </c>
      <c r="B306" s="6" t="s">
        <v>62</v>
      </c>
      <c r="C306" s="64" t="s">
        <v>76</v>
      </c>
      <c r="D306" s="6">
        <v>75</v>
      </c>
      <c r="E306" s="6" t="s">
        <v>24</v>
      </c>
      <c r="F306" s="6">
        <v>51</v>
      </c>
      <c r="G306" s="6">
        <v>155</v>
      </c>
      <c r="H306" s="6">
        <v>80.165999999999997</v>
      </c>
      <c r="I306" s="6">
        <v>76</v>
      </c>
      <c r="J306" s="6">
        <v>20.911999999999999</v>
      </c>
      <c r="K306" s="8">
        <v>49.161099999999998</v>
      </c>
      <c r="L306" s="8">
        <v>121.755</v>
      </c>
      <c r="M306" s="22">
        <f t="shared" si="3"/>
        <v>0.68876310543998887</v>
      </c>
      <c r="N306" s="22">
        <f t="shared" si="4"/>
        <v>-8.8603519028458351</v>
      </c>
      <c r="O306" s="22">
        <f t="shared" si="5"/>
        <v>46.355031207856307</v>
      </c>
    </row>
    <row r="307" spans="1:15" ht="16">
      <c r="A307" s="6" t="s">
        <v>61</v>
      </c>
      <c r="B307" s="6" t="s">
        <v>62</v>
      </c>
      <c r="C307" s="64" t="s">
        <v>76</v>
      </c>
      <c r="D307" s="6">
        <v>75</v>
      </c>
      <c r="E307" s="6" t="s">
        <v>25</v>
      </c>
      <c r="F307" s="6">
        <v>51</v>
      </c>
      <c r="G307" s="6">
        <v>147</v>
      </c>
      <c r="H307" s="6">
        <v>80.052499999999995</v>
      </c>
      <c r="I307" s="6">
        <v>76</v>
      </c>
      <c r="J307" s="6">
        <v>20.402999999999999</v>
      </c>
      <c r="K307" s="8">
        <v>49.161099999999998</v>
      </c>
      <c r="L307" s="8">
        <v>121.755</v>
      </c>
      <c r="M307" s="22">
        <f t="shared" si="3"/>
        <v>0.68876310543998887</v>
      </c>
      <c r="N307" s="22">
        <f t="shared" si="4"/>
        <v>-8.8603519028458351</v>
      </c>
      <c r="O307" s="22">
        <f t="shared" si="5"/>
        <v>46.276856595388871</v>
      </c>
    </row>
    <row r="308" spans="1:15" ht="16">
      <c r="A308" s="13" t="s">
        <v>61</v>
      </c>
      <c r="B308" s="13" t="s">
        <v>62</v>
      </c>
      <c r="C308" s="65" t="s">
        <v>76</v>
      </c>
      <c r="D308" s="13">
        <v>75</v>
      </c>
      <c r="E308" s="13" t="s">
        <v>26</v>
      </c>
      <c r="F308" s="13">
        <v>44</v>
      </c>
      <c r="G308" s="13">
        <v>134</v>
      </c>
      <c r="H308" s="13">
        <v>67.890100000000004</v>
      </c>
      <c r="I308" s="13">
        <v>65</v>
      </c>
      <c r="J308" s="13">
        <v>17.1236</v>
      </c>
      <c r="K308" s="8">
        <v>49.161099999999998</v>
      </c>
      <c r="L308" s="8">
        <v>121.755</v>
      </c>
      <c r="M308" s="22">
        <f t="shared" si="3"/>
        <v>0.68876310543998887</v>
      </c>
      <c r="N308" s="22">
        <f t="shared" si="4"/>
        <v>-8.8603519028458351</v>
      </c>
      <c r="O308" s="22">
        <f t="shared" si="5"/>
        <v>37.899844201785555</v>
      </c>
    </row>
    <row r="309" spans="1:15" ht="16">
      <c r="A309" s="13" t="s">
        <v>61</v>
      </c>
      <c r="B309" s="13" t="s">
        <v>62</v>
      </c>
      <c r="C309" s="65" t="s">
        <v>76</v>
      </c>
      <c r="D309" s="13">
        <v>75</v>
      </c>
      <c r="E309" s="13" t="s">
        <v>27</v>
      </c>
      <c r="F309" s="13">
        <v>44</v>
      </c>
      <c r="G309" s="13">
        <v>142</v>
      </c>
      <c r="H309" s="13">
        <v>67.982900000000001</v>
      </c>
      <c r="I309" s="13">
        <v>65</v>
      </c>
      <c r="J309" s="13">
        <v>17.478300000000001</v>
      </c>
      <c r="K309" s="8">
        <v>49.161099999999998</v>
      </c>
      <c r="L309" s="8">
        <v>121.755</v>
      </c>
      <c r="M309" s="22">
        <f t="shared" si="3"/>
        <v>0.68876310543998887</v>
      </c>
      <c r="N309" s="22">
        <f t="shared" si="4"/>
        <v>-8.8603519028458351</v>
      </c>
      <c r="O309" s="22">
        <f t="shared" si="5"/>
        <v>37.963761417970382</v>
      </c>
    </row>
    <row r="310" spans="1:15" ht="16">
      <c r="A310" s="13" t="s">
        <v>61</v>
      </c>
      <c r="B310" s="13" t="s">
        <v>62</v>
      </c>
      <c r="C310" s="65" t="s">
        <v>76</v>
      </c>
      <c r="D310" s="13">
        <v>75</v>
      </c>
      <c r="E310" s="13" t="s">
        <v>28</v>
      </c>
      <c r="F310" s="13">
        <v>44</v>
      </c>
      <c r="G310" s="13">
        <v>140</v>
      </c>
      <c r="H310" s="13">
        <v>67.906400000000005</v>
      </c>
      <c r="I310" s="13">
        <v>64</v>
      </c>
      <c r="J310" s="13">
        <v>17.5609</v>
      </c>
      <c r="K310" s="8">
        <v>49.161099999999998</v>
      </c>
      <c r="L310" s="8">
        <v>121.755</v>
      </c>
      <c r="M310" s="22">
        <f t="shared" si="3"/>
        <v>0.68876310543998887</v>
      </c>
      <c r="N310" s="22">
        <f t="shared" si="4"/>
        <v>-8.8603519028458351</v>
      </c>
      <c r="O310" s="22">
        <f t="shared" si="5"/>
        <v>37.911071040404231</v>
      </c>
    </row>
    <row r="311" spans="1:15" ht="16">
      <c r="A311" s="13" t="s">
        <v>61</v>
      </c>
      <c r="B311" s="13" t="s">
        <v>62</v>
      </c>
      <c r="C311" s="65" t="s">
        <v>76</v>
      </c>
      <c r="D311" s="13">
        <v>75</v>
      </c>
      <c r="E311" s="13" t="s">
        <v>29</v>
      </c>
      <c r="F311" s="13">
        <v>44</v>
      </c>
      <c r="G311" s="13">
        <v>141</v>
      </c>
      <c r="H311" s="13">
        <v>68.487200000000001</v>
      </c>
      <c r="I311" s="13">
        <v>65</v>
      </c>
      <c r="J311" s="13">
        <v>17.6813</v>
      </c>
      <c r="K311" s="8">
        <v>49.161099999999998</v>
      </c>
      <c r="L311" s="8">
        <v>121.755</v>
      </c>
      <c r="M311" s="22">
        <f t="shared" si="3"/>
        <v>0.68876310543998887</v>
      </c>
      <c r="N311" s="22">
        <f t="shared" si="4"/>
        <v>-8.8603519028458351</v>
      </c>
      <c r="O311" s="22">
        <f t="shared" si="5"/>
        <v>38.311104652043774</v>
      </c>
    </row>
    <row r="312" spans="1:15" ht="16">
      <c r="A312" s="13" t="s">
        <v>61</v>
      </c>
      <c r="B312" s="13" t="s">
        <v>62</v>
      </c>
      <c r="C312" s="65" t="s">
        <v>76</v>
      </c>
      <c r="D312" s="13">
        <v>75</v>
      </c>
      <c r="E312" s="13" t="s">
        <v>30</v>
      </c>
      <c r="F312" s="13">
        <v>44</v>
      </c>
      <c r="G312" s="13">
        <v>143</v>
      </c>
      <c r="H312" s="13">
        <v>69.94</v>
      </c>
      <c r="I312" s="13">
        <v>66</v>
      </c>
      <c r="J312" s="13">
        <v>18.880400000000002</v>
      </c>
      <c r="K312" s="8">
        <v>49.161099999999998</v>
      </c>
      <c r="L312" s="8">
        <v>121.755</v>
      </c>
      <c r="M312" s="22">
        <f t="shared" si="3"/>
        <v>0.68876310543998887</v>
      </c>
      <c r="N312" s="22">
        <f t="shared" si="4"/>
        <v>-8.8603519028458351</v>
      </c>
      <c r="O312" s="22">
        <f t="shared" si="5"/>
        <v>39.311739691626983</v>
      </c>
    </row>
    <row r="313" spans="1:15" ht="16">
      <c r="A313" s="16" t="s">
        <v>61</v>
      </c>
      <c r="B313" s="16" t="s">
        <v>62</v>
      </c>
      <c r="C313" s="66" t="s">
        <v>76</v>
      </c>
      <c r="D313" s="16">
        <v>75</v>
      </c>
      <c r="E313" s="16" t="s">
        <v>31</v>
      </c>
      <c r="F313" s="16">
        <v>43</v>
      </c>
      <c r="G313" s="16">
        <v>192</v>
      </c>
      <c r="H313" s="16">
        <v>83.845500000000001</v>
      </c>
      <c r="I313" s="16">
        <v>78</v>
      </c>
      <c r="J313" s="16">
        <v>30.752500000000001</v>
      </c>
      <c r="K313" s="8">
        <v>49.161099999999998</v>
      </c>
      <c r="L313" s="8">
        <v>121.755</v>
      </c>
      <c r="M313" s="22">
        <f t="shared" si="3"/>
        <v>0.68876310543998887</v>
      </c>
      <c r="N313" s="22">
        <f t="shared" si="4"/>
        <v>-8.8603519028458351</v>
      </c>
      <c r="O313" s="22">
        <f t="shared" si="5"/>
        <v>48.88933505432275</v>
      </c>
    </row>
    <row r="314" spans="1:15" ht="16">
      <c r="A314" s="16" t="s">
        <v>61</v>
      </c>
      <c r="B314" s="16" t="s">
        <v>62</v>
      </c>
      <c r="C314" s="66" t="s">
        <v>76</v>
      </c>
      <c r="D314" s="16">
        <v>75</v>
      </c>
      <c r="E314" s="16" t="s">
        <v>32</v>
      </c>
      <c r="F314" s="16">
        <v>43</v>
      </c>
      <c r="G314" s="16">
        <v>188</v>
      </c>
      <c r="H314" s="16">
        <v>81.951599999999999</v>
      </c>
      <c r="I314" s="16">
        <v>75</v>
      </c>
      <c r="J314" s="16">
        <v>29.988299999999999</v>
      </c>
      <c r="K314" s="8">
        <v>49.161099999999998</v>
      </c>
      <c r="L314" s="8">
        <v>121.755</v>
      </c>
      <c r="M314" s="22">
        <f t="shared" si="3"/>
        <v>0.68876310543998887</v>
      </c>
      <c r="N314" s="22">
        <f t="shared" si="4"/>
        <v>-8.8603519028458351</v>
      </c>
      <c r="O314" s="22">
        <f t="shared" si="5"/>
        <v>47.584886608929956</v>
      </c>
    </row>
    <row r="315" spans="1:15" ht="16">
      <c r="A315" s="16" t="s">
        <v>61</v>
      </c>
      <c r="B315" s="16" t="s">
        <v>62</v>
      </c>
      <c r="C315" s="66" t="s">
        <v>76</v>
      </c>
      <c r="D315" s="16">
        <v>75</v>
      </c>
      <c r="E315" s="16" t="s">
        <v>33</v>
      </c>
      <c r="F315" s="16">
        <v>43</v>
      </c>
      <c r="G315" s="16">
        <v>180</v>
      </c>
      <c r="H315" s="16">
        <v>81.010099999999994</v>
      </c>
      <c r="I315" s="16">
        <v>75</v>
      </c>
      <c r="J315" s="16">
        <v>29.0488</v>
      </c>
      <c r="K315" s="8">
        <v>49.161099999999998</v>
      </c>
      <c r="L315" s="8">
        <v>121.755</v>
      </c>
      <c r="M315" s="22">
        <f t="shared" si="3"/>
        <v>0.68876310543998887</v>
      </c>
      <c r="N315" s="22">
        <f t="shared" si="4"/>
        <v>-8.8603519028458351</v>
      </c>
      <c r="O315" s="22">
        <f t="shared" si="5"/>
        <v>46.936416145158205</v>
      </c>
    </row>
    <row r="316" spans="1:15" ht="16">
      <c r="A316" s="16" t="s">
        <v>61</v>
      </c>
      <c r="B316" s="16" t="s">
        <v>62</v>
      </c>
      <c r="C316" s="66" t="s">
        <v>76</v>
      </c>
      <c r="D316" s="16">
        <v>75</v>
      </c>
      <c r="E316" s="16" t="s">
        <v>34</v>
      </c>
      <c r="F316" s="16">
        <v>43</v>
      </c>
      <c r="G316" s="16">
        <v>173</v>
      </c>
      <c r="H316" s="16">
        <v>79.333600000000004</v>
      </c>
      <c r="I316" s="16">
        <v>74</v>
      </c>
      <c r="J316" s="16">
        <v>27.3856</v>
      </c>
      <c r="K316" s="8">
        <v>49.161099999999998</v>
      </c>
      <c r="L316" s="8">
        <v>121.755</v>
      </c>
      <c r="M316" s="22">
        <f t="shared" si="3"/>
        <v>0.68876310543998887</v>
      </c>
      <c r="N316" s="22">
        <f t="shared" si="4"/>
        <v>-8.8603519028458351</v>
      </c>
      <c r="O316" s="22">
        <f t="shared" si="5"/>
        <v>45.781704798888072</v>
      </c>
    </row>
    <row r="317" spans="1:15" ht="16">
      <c r="A317" s="16" t="s">
        <v>61</v>
      </c>
      <c r="B317" s="16" t="s">
        <v>62</v>
      </c>
      <c r="C317" s="66" t="s">
        <v>76</v>
      </c>
      <c r="D317" s="16">
        <v>75</v>
      </c>
      <c r="E317" s="16" t="s">
        <v>35</v>
      </c>
      <c r="F317" s="16">
        <v>43</v>
      </c>
      <c r="G317" s="16">
        <v>163</v>
      </c>
      <c r="H317" s="16">
        <v>78.761700000000005</v>
      </c>
      <c r="I317" s="16">
        <v>73</v>
      </c>
      <c r="J317" s="16">
        <v>26.584</v>
      </c>
      <c r="K317" s="8">
        <v>49.161099999999998</v>
      </c>
      <c r="L317" s="8">
        <v>121.755</v>
      </c>
      <c r="M317" s="22">
        <f t="shared" si="3"/>
        <v>0.68876310543998887</v>
      </c>
      <c r="N317" s="22">
        <f t="shared" si="4"/>
        <v>-8.8603519028458351</v>
      </c>
      <c r="O317" s="22">
        <f t="shared" si="5"/>
        <v>45.387801178886939</v>
      </c>
    </row>
    <row r="318" spans="1:15" ht="16">
      <c r="A318" s="6" t="s">
        <v>45</v>
      </c>
      <c r="B318" s="6" t="s">
        <v>47</v>
      </c>
      <c r="C318" s="64" t="s">
        <v>75</v>
      </c>
      <c r="D318" s="6">
        <v>66</v>
      </c>
      <c r="E318" s="6" t="s">
        <v>21</v>
      </c>
      <c r="F318" s="6">
        <v>56</v>
      </c>
      <c r="G318" s="6">
        <v>169</v>
      </c>
      <c r="H318" s="6">
        <v>87.745699999999999</v>
      </c>
      <c r="I318" s="6">
        <v>83</v>
      </c>
      <c r="J318" s="6">
        <v>22.3843</v>
      </c>
      <c r="K318" s="8">
        <v>53.058700000000002</v>
      </c>
      <c r="L318" s="8">
        <v>126.83799999999999</v>
      </c>
      <c r="M318" s="22">
        <f t="shared" si="3"/>
        <v>0.67769686077260161</v>
      </c>
      <c r="N318" s="22">
        <f t="shared" si="4"/>
        <v>-10.957714426675238</v>
      </c>
      <c r="O318" s="22">
        <f t="shared" si="5"/>
        <v>48.507271009619231</v>
      </c>
    </row>
    <row r="319" spans="1:15" ht="16">
      <c r="A319" s="6" t="s">
        <v>45</v>
      </c>
      <c r="B319" s="6" t="s">
        <v>47</v>
      </c>
      <c r="C319" s="64" t="s">
        <v>75</v>
      </c>
      <c r="D319" s="6">
        <v>66</v>
      </c>
      <c r="E319" s="6" t="s">
        <v>22</v>
      </c>
      <c r="F319" s="6">
        <v>47</v>
      </c>
      <c r="G319" s="6">
        <v>173</v>
      </c>
      <c r="H319" s="6">
        <v>84.841800000000006</v>
      </c>
      <c r="I319" s="6">
        <v>80</v>
      </c>
      <c r="J319" s="6">
        <v>21.1814</v>
      </c>
      <c r="K319" s="8">
        <v>53.058700000000002</v>
      </c>
      <c r="L319" s="8">
        <v>126.83799999999999</v>
      </c>
      <c r="M319" s="22">
        <f t="shared" si="3"/>
        <v>0.67769686077260161</v>
      </c>
      <c r="N319" s="22">
        <f t="shared" si="4"/>
        <v>-10.957714426675238</v>
      </c>
      <c r="O319" s="22">
        <f t="shared" si="5"/>
        <v>46.539307095621673</v>
      </c>
    </row>
    <row r="320" spans="1:15" ht="16">
      <c r="A320" s="6" t="s">
        <v>45</v>
      </c>
      <c r="B320" s="6" t="s">
        <v>47</v>
      </c>
      <c r="C320" s="64" t="s">
        <v>75</v>
      </c>
      <c r="D320" s="6">
        <v>66</v>
      </c>
      <c r="E320" s="6" t="s">
        <v>23</v>
      </c>
      <c r="F320" s="6">
        <v>51</v>
      </c>
      <c r="G320" s="6">
        <v>166</v>
      </c>
      <c r="H320" s="6">
        <v>82.8065</v>
      </c>
      <c r="I320" s="6">
        <v>78</v>
      </c>
      <c r="J320" s="6">
        <v>19.900600000000001</v>
      </c>
      <c r="K320" s="8">
        <v>53.058700000000002</v>
      </c>
      <c r="L320" s="8">
        <v>126.83799999999999</v>
      </c>
      <c r="M320" s="22">
        <f t="shared" si="3"/>
        <v>0.67769686077260161</v>
      </c>
      <c r="N320" s="22">
        <f t="shared" si="4"/>
        <v>-10.957714426675238</v>
      </c>
      <c r="O320" s="22">
        <f t="shared" si="5"/>
        <v>45.159990674891198</v>
      </c>
    </row>
    <row r="321" spans="1:15" ht="16">
      <c r="A321" s="6" t="s">
        <v>45</v>
      </c>
      <c r="B321" s="6" t="s">
        <v>47</v>
      </c>
      <c r="C321" s="64" t="s">
        <v>75</v>
      </c>
      <c r="D321" s="6">
        <v>66</v>
      </c>
      <c r="E321" s="6" t="s">
        <v>24</v>
      </c>
      <c r="F321" s="6">
        <v>56</v>
      </c>
      <c r="G321" s="6">
        <v>159</v>
      </c>
      <c r="H321" s="6">
        <v>81.136099999999999</v>
      </c>
      <c r="I321" s="6">
        <v>77</v>
      </c>
      <c r="J321" s="6">
        <v>19.055199999999999</v>
      </c>
      <c r="K321" s="8">
        <v>53.058700000000002</v>
      </c>
      <c r="L321" s="8">
        <v>126.83799999999999</v>
      </c>
      <c r="M321" s="22">
        <f t="shared" si="3"/>
        <v>0.67769686077260161</v>
      </c>
      <c r="N321" s="22">
        <f t="shared" si="4"/>
        <v>-10.957714426675238</v>
      </c>
      <c r="O321" s="22">
        <f t="shared" si="5"/>
        <v>44.027965838656641</v>
      </c>
    </row>
    <row r="322" spans="1:15" ht="16">
      <c r="A322" s="6" t="s">
        <v>45</v>
      </c>
      <c r="B322" s="6" t="s">
        <v>47</v>
      </c>
      <c r="C322" s="64" t="s">
        <v>75</v>
      </c>
      <c r="D322" s="6">
        <v>66</v>
      </c>
      <c r="E322" s="6" t="s">
        <v>25</v>
      </c>
      <c r="F322" s="6">
        <v>56</v>
      </c>
      <c r="G322" s="6">
        <v>154</v>
      </c>
      <c r="H322" s="6">
        <v>79.694299999999998</v>
      </c>
      <c r="I322" s="6">
        <v>75</v>
      </c>
      <c r="J322" s="6">
        <v>18.215800000000002</v>
      </c>
      <c r="K322" s="8">
        <v>53.058700000000002</v>
      </c>
      <c r="L322" s="8">
        <v>126.83799999999999</v>
      </c>
      <c r="M322" s="22">
        <f t="shared" si="3"/>
        <v>0.67769686077260161</v>
      </c>
      <c r="N322" s="22">
        <f t="shared" si="4"/>
        <v>-10.957714426675238</v>
      </c>
      <c r="O322" s="22">
        <f t="shared" si="5"/>
        <v>43.050862504794708</v>
      </c>
    </row>
    <row r="323" spans="1:15" ht="16">
      <c r="A323" s="13" t="s">
        <v>45</v>
      </c>
      <c r="B323" s="13" t="s">
        <v>47</v>
      </c>
      <c r="C323" s="65" t="s">
        <v>75</v>
      </c>
      <c r="D323" s="13">
        <v>66</v>
      </c>
      <c r="E323" s="13" t="s">
        <v>26</v>
      </c>
      <c r="F323" s="13">
        <v>49</v>
      </c>
      <c r="G323" s="13">
        <v>119</v>
      </c>
      <c r="H323" s="13">
        <v>68.758200000000002</v>
      </c>
      <c r="I323" s="13">
        <v>66</v>
      </c>
      <c r="J323" s="13">
        <v>14.133599999999999</v>
      </c>
      <c r="K323" s="8">
        <v>53.058700000000002</v>
      </c>
      <c r="L323" s="8">
        <v>126.83799999999999</v>
      </c>
      <c r="M323" s="22">
        <f t="shared" si="3"/>
        <v>0.67769686077260161</v>
      </c>
      <c r="N323" s="22">
        <f t="shared" si="4"/>
        <v>-10.957714426675238</v>
      </c>
      <c r="O323" s="22">
        <f t="shared" si="5"/>
        <v>35.639501865699458</v>
      </c>
    </row>
    <row r="324" spans="1:15" ht="16">
      <c r="A324" s="13" t="s">
        <v>45</v>
      </c>
      <c r="B324" s="13" t="s">
        <v>47</v>
      </c>
      <c r="C324" s="65" t="s">
        <v>75</v>
      </c>
      <c r="D324" s="13">
        <v>66</v>
      </c>
      <c r="E324" s="13" t="s">
        <v>27</v>
      </c>
      <c r="F324" s="13">
        <v>49</v>
      </c>
      <c r="G324" s="13">
        <v>125</v>
      </c>
      <c r="H324" s="13">
        <v>69.085499999999996</v>
      </c>
      <c r="I324" s="13">
        <v>66</v>
      </c>
      <c r="J324" s="13">
        <v>14.211600000000001</v>
      </c>
      <c r="K324" s="8">
        <v>53.058700000000002</v>
      </c>
      <c r="L324" s="8">
        <v>126.83799999999999</v>
      </c>
      <c r="M324" s="22">
        <f t="shared" si="3"/>
        <v>0.67769686077260161</v>
      </c>
      <c r="N324" s="22">
        <f t="shared" si="4"/>
        <v>-10.957714426675238</v>
      </c>
      <c r="O324" s="22">
        <f t="shared" si="5"/>
        <v>35.861312048230324</v>
      </c>
    </row>
    <row r="325" spans="1:15" ht="16">
      <c r="A325" s="13" t="s">
        <v>45</v>
      </c>
      <c r="B325" s="13" t="s">
        <v>47</v>
      </c>
      <c r="C325" s="65" t="s">
        <v>75</v>
      </c>
      <c r="D325" s="13">
        <v>66</v>
      </c>
      <c r="E325" s="13" t="s">
        <v>28</v>
      </c>
      <c r="F325" s="13">
        <v>45</v>
      </c>
      <c r="G325" s="13">
        <v>124</v>
      </c>
      <c r="H325" s="13">
        <v>68.360399999999998</v>
      </c>
      <c r="I325" s="13">
        <v>65</v>
      </c>
      <c r="J325" s="13">
        <v>13.763999999999999</v>
      </c>
      <c r="K325" s="8">
        <v>53.058700000000002</v>
      </c>
      <c r="L325" s="8">
        <v>126.83799999999999</v>
      </c>
      <c r="M325" s="22">
        <f t="shared" si="3"/>
        <v>0.67769686077260161</v>
      </c>
      <c r="N325" s="22">
        <f t="shared" si="4"/>
        <v>-10.957714426675238</v>
      </c>
      <c r="O325" s="22">
        <f t="shared" si="5"/>
        <v>35.369914054484113</v>
      </c>
    </row>
    <row r="326" spans="1:15" ht="16">
      <c r="A326" s="13" t="s">
        <v>45</v>
      </c>
      <c r="B326" s="13" t="s">
        <v>47</v>
      </c>
      <c r="C326" s="65" t="s">
        <v>75</v>
      </c>
      <c r="D326" s="13">
        <v>66</v>
      </c>
      <c r="E326" s="13" t="s">
        <v>29</v>
      </c>
      <c r="F326" s="13">
        <v>49</v>
      </c>
      <c r="G326" s="13">
        <v>122</v>
      </c>
      <c r="H326" s="13">
        <v>68.918999999999997</v>
      </c>
      <c r="I326" s="13">
        <v>66</v>
      </c>
      <c r="J326" s="13">
        <v>14.1286</v>
      </c>
      <c r="K326" s="8">
        <v>53.058700000000002</v>
      </c>
      <c r="L326" s="8">
        <v>126.83799999999999</v>
      </c>
      <c r="M326" s="22">
        <f t="shared" si="3"/>
        <v>0.67769686077260161</v>
      </c>
      <c r="N326" s="22">
        <f t="shared" si="4"/>
        <v>-10.957714426675238</v>
      </c>
      <c r="O326" s="22">
        <f t="shared" si="5"/>
        <v>35.74847552091169</v>
      </c>
    </row>
    <row r="327" spans="1:15" ht="16">
      <c r="A327" s="13" t="s">
        <v>45</v>
      </c>
      <c r="B327" s="13" t="s">
        <v>47</v>
      </c>
      <c r="C327" s="65" t="s">
        <v>75</v>
      </c>
      <c r="D327" s="13">
        <v>66</v>
      </c>
      <c r="E327" s="13" t="s">
        <v>30</v>
      </c>
      <c r="F327" s="13">
        <v>49</v>
      </c>
      <c r="G327" s="13">
        <v>123</v>
      </c>
      <c r="H327" s="13">
        <v>69.062799999999996</v>
      </c>
      <c r="I327" s="13">
        <v>66</v>
      </c>
      <c r="J327" s="13">
        <v>14.339700000000001</v>
      </c>
      <c r="K327" s="8">
        <v>53.058700000000002</v>
      </c>
      <c r="L327" s="8">
        <v>126.83799999999999</v>
      </c>
      <c r="M327" s="22">
        <f t="shared" si="3"/>
        <v>0.67769686077260161</v>
      </c>
      <c r="N327" s="22">
        <f t="shared" si="4"/>
        <v>-10.957714426675238</v>
      </c>
      <c r="O327" s="22">
        <f t="shared" si="5"/>
        <v>35.845928329490789</v>
      </c>
    </row>
    <row r="328" spans="1:15" ht="16">
      <c r="A328" s="16" t="s">
        <v>45</v>
      </c>
      <c r="B328" s="16" t="s">
        <v>47</v>
      </c>
      <c r="C328" s="66" t="s">
        <v>75</v>
      </c>
      <c r="D328" s="16">
        <v>66</v>
      </c>
      <c r="E328" s="16" t="s">
        <v>31</v>
      </c>
      <c r="F328" s="16">
        <v>44</v>
      </c>
      <c r="G328" s="16">
        <v>182</v>
      </c>
      <c r="H328" s="16">
        <v>92.962599999999995</v>
      </c>
      <c r="I328" s="16">
        <v>88</v>
      </c>
      <c r="J328" s="16">
        <v>30.1952</v>
      </c>
      <c r="K328" s="8">
        <v>53.058700000000002</v>
      </c>
      <c r="L328" s="8">
        <v>126.83799999999999</v>
      </c>
      <c r="M328" s="22">
        <f t="shared" si="3"/>
        <v>0.67769686077260161</v>
      </c>
      <c r="N328" s="22">
        <f t="shared" si="4"/>
        <v>-10.957714426675238</v>
      </c>
      <c r="O328" s="22">
        <f t="shared" si="5"/>
        <v>52.042747762583815</v>
      </c>
    </row>
    <row r="329" spans="1:15" ht="16">
      <c r="A329" s="16" t="s">
        <v>45</v>
      </c>
      <c r="B329" s="16" t="s">
        <v>47</v>
      </c>
      <c r="C329" s="66" t="s">
        <v>75</v>
      </c>
      <c r="D329" s="16">
        <v>66</v>
      </c>
      <c r="E329" s="16" t="s">
        <v>32</v>
      </c>
      <c r="F329" s="16">
        <v>44</v>
      </c>
      <c r="G329" s="16">
        <v>183</v>
      </c>
      <c r="H329" s="16">
        <v>90.091700000000003</v>
      </c>
      <c r="I329" s="16">
        <v>84</v>
      </c>
      <c r="J329" s="16">
        <v>28.165800000000001</v>
      </c>
      <c r="K329" s="8">
        <v>53.058700000000002</v>
      </c>
      <c r="L329" s="8">
        <v>126.83799999999999</v>
      </c>
      <c r="M329" s="22">
        <f t="shared" si="3"/>
        <v>0.67769686077260161</v>
      </c>
      <c r="N329" s="22">
        <f t="shared" si="4"/>
        <v>-10.957714426675238</v>
      </c>
      <c r="O329" s="22">
        <f t="shared" si="5"/>
        <v>50.097147844991753</v>
      </c>
    </row>
    <row r="330" spans="1:15" ht="16">
      <c r="A330" s="16" t="s">
        <v>45</v>
      </c>
      <c r="B330" s="16" t="s">
        <v>47</v>
      </c>
      <c r="C330" s="66" t="s">
        <v>75</v>
      </c>
      <c r="D330" s="16">
        <v>66</v>
      </c>
      <c r="E330" s="16" t="s">
        <v>33</v>
      </c>
      <c r="F330" s="16">
        <v>53</v>
      </c>
      <c r="G330" s="16">
        <v>160</v>
      </c>
      <c r="H330" s="16">
        <v>90.077500000000001</v>
      </c>
      <c r="I330" s="16">
        <v>85</v>
      </c>
      <c r="J330" s="16">
        <v>27.089400000000001</v>
      </c>
      <c r="K330" s="8">
        <v>53.058700000000002</v>
      </c>
      <c r="L330" s="8">
        <v>126.83799999999999</v>
      </c>
      <c r="M330" s="22">
        <f t="shared" si="3"/>
        <v>0.67769686077260161</v>
      </c>
      <c r="N330" s="22">
        <f t="shared" si="4"/>
        <v>-10.957714426675238</v>
      </c>
      <c r="O330" s="22">
        <f t="shared" si="5"/>
        <v>50.087524549568784</v>
      </c>
    </row>
    <row r="331" spans="1:15" ht="16">
      <c r="A331" s="16" t="s">
        <v>45</v>
      </c>
      <c r="B331" s="16" t="s">
        <v>47</v>
      </c>
      <c r="C331" s="66" t="s">
        <v>75</v>
      </c>
      <c r="D331" s="16">
        <v>66</v>
      </c>
      <c r="E331" s="16" t="s">
        <v>34</v>
      </c>
      <c r="F331" s="16">
        <v>53</v>
      </c>
      <c r="G331" s="16">
        <v>172</v>
      </c>
      <c r="H331" s="16">
        <v>88.080299999999994</v>
      </c>
      <c r="I331" s="16">
        <v>83</v>
      </c>
      <c r="J331" s="16">
        <v>26.023700000000002</v>
      </c>
      <c r="K331" s="8">
        <v>53.058700000000002</v>
      </c>
      <c r="L331" s="8">
        <v>126.83799999999999</v>
      </c>
      <c r="M331" s="22">
        <f t="shared" si="3"/>
        <v>0.67769686077260161</v>
      </c>
      <c r="N331" s="22">
        <f t="shared" si="4"/>
        <v>-10.957714426675238</v>
      </c>
      <c r="O331" s="22">
        <f t="shared" si="5"/>
        <v>48.734028379233742</v>
      </c>
    </row>
    <row r="332" spans="1:15" ht="16">
      <c r="A332" s="16" t="s">
        <v>45</v>
      </c>
      <c r="B332" s="16" t="s">
        <v>47</v>
      </c>
      <c r="C332" s="66" t="s">
        <v>75</v>
      </c>
      <c r="D332" s="16">
        <v>66</v>
      </c>
      <c r="E332" s="16" t="s">
        <v>35</v>
      </c>
      <c r="F332" s="16">
        <v>53</v>
      </c>
      <c r="G332" s="16">
        <v>170</v>
      </c>
      <c r="H332" s="16">
        <v>86.122100000000003</v>
      </c>
      <c r="I332" s="16">
        <v>81</v>
      </c>
      <c r="J332" s="16">
        <v>24.628399999999999</v>
      </c>
      <c r="K332" s="8">
        <v>53.058700000000002</v>
      </c>
      <c r="L332" s="8">
        <v>126.83799999999999</v>
      </c>
      <c r="M332" s="22">
        <f t="shared" si="3"/>
        <v>0.67769686077260161</v>
      </c>
      <c r="N332" s="22">
        <f t="shared" si="4"/>
        <v>-10.957714426675238</v>
      </c>
      <c r="O332" s="22">
        <f t="shared" si="5"/>
        <v>47.406962386468834</v>
      </c>
    </row>
    <row r="333" spans="1:15" ht="15.75" customHeight="1">
      <c r="F333" s="51"/>
      <c r="G333" s="51"/>
      <c r="H333" s="51"/>
      <c r="I333" s="51"/>
      <c r="J333" s="51"/>
    </row>
    <row r="334" spans="1:15" ht="15.75" customHeight="1">
      <c r="F334" s="51"/>
      <c r="G334" s="51"/>
      <c r="H334" s="51"/>
      <c r="I334" s="51"/>
      <c r="J334" s="51"/>
    </row>
    <row r="335" spans="1:15" ht="15.75" customHeight="1">
      <c r="F335" s="51"/>
      <c r="G335" s="51"/>
      <c r="H335" s="51"/>
      <c r="I335" s="51"/>
      <c r="J335" s="51"/>
    </row>
    <row r="336" spans="1:15" ht="15.75" customHeight="1">
      <c r="F336" s="51"/>
      <c r="G336" s="51"/>
      <c r="H336" s="51"/>
      <c r="I336" s="51"/>
      <c r="J336" s="51"/>
    </row>
    <row r="337" spans="6:10" ht="15.75" customHeight="1">
      <c r="F337" s="51"/>
      <c r="G337" s="51"/>
      <c r="H337" s="51"/>
      <c r="I337" s="51"/>
      <c r="J337" s="51"/>
    </row>
    <row r="338" spans="6:10" ht="15.75" customHeight="1">
      <c r="F338" s="51"/>
      <c r="G338" s="51"/>
      <c r="H338" s="51"/>
      <c r="I338" s="51"/>
      <c r="J338" s="51"/>
    </row>
    <row r="339" spans="6:10" ht="15.75" customHeight="1">
      <c r="F339" s="51"/>
      <c r="G339" s="51"/>
      <c r="H339" s="51"/>
      <c r="I339" s="51"/>
      <c r="J339" s="51"/>
    </row>
    <row r="340" spans="6:10" ht="15.75" customHeight="1">
      <c r="F340" s="51"/>
      <c r="G340" s="51"/>
      <c r="H340" s="51"/>
      <c r="I340" s="51"/>
      <c r="J340" s="51"/>
    </row>
    <row r="341" spans="6:10" ht="15.75" customHeight="1">
      <c r="F341" s="51"/>
      <c r="G341" s="51"/>
      <c r="H341" s="51"/>
      <c r="I341" s="51"/>
      <c r="J341" s="51"/>
    </row>
    <row r="342" spans="6:10" ht="15.75" customHeight="1">
      <c r="F342" s="51"/>
      <c r="G342" s="51"/>
      <c r="H342" s="51"/>
      <c r="I342" s="51"/>
      <c r="J342" s="51"/>
    </row>
    <row r="343" spans="6:10" ht="15.75" customHeight="1">
      <c r="F343" s="51"/>
      <c r="G343" s="51"/>
      <c r="H343" s="51"/>
      <c r="I343" s="51"/>
      <c r="J343" s="51"/>
    </row>
    <row r="344" spans="6:10" ht="15.75" customHeight="1">
      <c r="F344" s="51"/>
      <c r="G344" s="51"/>
      <c r="H344" s="51"/>
      <c r="I344" s="51"/>
      <c r="J344" s="51"/>
    </row>
    <row r="345" spans="6:10" ht="15.75" customHeight="1">
      <c r="F345" s="51"/>
      <c r="G345" s="51"/>
      <c r="H345" s="51"/>
      <c r="I345" s="51"/>
      <c r="J345" s="51"/>
    </row>
    <row r="346" spans="6:10" ht="15.75" customHeight="1">
      <c r="F346" s="51"/>
      <c r="G346" s="51"/>
      <c r="H346" s="51"/>
      <c r="I346" s="51"/>
      <c r="J346" s="51"/>
    </row>
    <row r="347" spans="6:10" ht="15.75" customHeight="1">
      <c r="F347" s="51"/>
      <c r="G347" s="51"/>
      <c r="H347" s="51"/>
      <c r="I347" s="51"/>
      <c r="J347" s="51"/>
    </row>
    <row r="348" spans="6:10" ht="15.75" customHeight="1">
      <c r="F348" s="51"/>
      <c r="G348" s="51"/>
      <c r="H348" s="51"/>
      <c r="I348" s="51"/>
      <c r="J348" s="51"/>
    </row>
    <row r="349" spans="6:10" ht="15.75" customHeight="1">
      <c r="F349" s="51"/>
      <c r="G349" s="51"/>
      <c r="H349" s="51"/>
      <c r="I349" s="51"/>
      <c r="J349" s="51"/>
    </row>
    <row r="350" spans="6:10" ht="15.75" customHeight="1">
      <c r="F350" s="51"/>
      <c r="G350" s="51"/>
      <c r="H350" s="51"/>
      <c r="I350" s="51"/>
      <c r="J350" s="51"/>
    </row>
    <row r="351" spans="6:10" ht="15.75" customHeight="1">
      <c r="F351" s="51"/>
      <c r="G351" s="51"/>
      <c r="H351" s="51"/>
      <c r="I351" s="51"/>
      <c r="J351" s="51"/>
    </row>
    <row r="352" spans="6:10" ht="15.75" customHeight="1">
      <c r="F352" s="51"/>
      <c r="G352" s="51"/>
      <c r="H352" s="51"/>
      <c r="I352" s="51"/>
      <c r="J352" s="51"/>
    </row>
    <row r="353" spans="6:10" ht="15.75" customHeight="1">
      <c r="F353" s="51"/>
      <c r="G353" s="51"/>
      <c r="H353" s="51"/>
      <c r="I353" s="51"/>
      <c r="J353" s="51"/>
    </row>
    <row r="354" spans="6:10" ht="15.75" customHeight="1">
      <c r="F354" s="51"/>
      <c r="G354" s="51"/>
      <c r="H354" s="51"/>
      <c r="I354" s="51"/>
      <c r="J354" s="51"/>
    </row>
    <row r="355" spans="6:10" ht="15.75" customHeight="1">
      <c r="F355" s="51"/>
      <c r="G355" s="51"/>
      <c r="H355" s="51"/>
      <c r="I355" s="51"/>
      <c r="J355" s="51"/>
    </row>
    <row r="356" spans="6:10" ht="15.75" customHeight="1">
      <c r="F356" s="51"/>
      <c r="G356" s="51"/>
      <c r="H356" s="51"/>
      <c r="I356" s="51"/>
      <c r="J356" s="51"/>
    </row>
    <row r="357" spans="6:10" ht="15.75" customHeight="1">
      <c r="F357" s="51"/>
      <c r="G357" s="51"/>
      <c r="H357" s="51"/>
      <c r="I357" s="51"/>
      <c r="J357" s="51"/>
    </row>
    <row r="358" spans="6:10" ht="15.75" customHeight="1">
      <c r="F358" s="51"/>
      <c r="G358" s="51"/>
      <c r="H358" s="51"/>
      <c r="I358" s="51"/>
      <c r="J358" s="51"/>
    </row>
    <row r="359" spans="6:10" ht="15.75" customHeight="1">
      <c r="F359" s="51"/>
      <c r="G359" s="51"/>
      <c r="H359" s="51"/>
      <c r="I359" s="51"/>
      <c r="J359" s="51"/>
    </row>
    <row r="360" spans="6:10" ht="15.75" customHeight="1">
      <c r="F360" s="51"/>
      <c r="G360" s="51"/>
      <c r="H360" s="51"/>
      <c r="I360" s="51"/>
      <c r="J360" s="51"/>
    </row>
    <row r="361" spans="6:10" ht="15.75" customHeight="1">
      <c r="F361" s="51"/>
      <c r="G361" s="51"/>
      <c r="H361" s="51"/>
      <c r="I361" s="51"/>
      <c r="J361" s="51"/>
    </row>
    <row r="362" spans="6:10" ht="15.75" customHeight="1">
      <c r="F362" s="51"/>
      <c r="G362" s="51"/>
      <c r="H362" s="51"/>
      <c r="I362" s="51"/>
      <c r="J362" s="51"/>
    </row>
    <row r="363" spans="6:10" ht="15.75" customHeight="1">
      <c r="F363" s="51"/>
      <c r="G363" s="51"/>
      <c r="H363" s="51"/>
      <c r="I363" s="51"/>
      <c r="J363" s="51"/>
    </row>
    <row r="364" spans="6:10" ht="15.75" customHeight="1">
      <c r="F364" s="51"/>
      <c r="G364" s="51"/>
      <c r="H364" s="51"/>
      <c r="I364" s="51"/>
      <c r="J364" s="51"/>
    </row>
    <row r="365" spans="6:10" ht="15.75" customHeight="1">
      <c r="F365" s="51"/>
      <c r="G365" s="51"/>
      <c r="H365" s="51"/>
      <c r="I365" s="51"/>
      <c r="J365" s="51"/>
    </row>
    <row r="366" spans="6:10" ht="15.75" customHeight="1">
      <c r="F366" s="51"/>
      <c r="G366" s="51"/>
      <c r="H366" s="51"/>
      <c r="I366" s="51"/>
      <c r="J366" s="51"/>
    </row>
    <row r="367" spans="6:10" ht="15.75" customHeight="1">
      <c r="F367" s="51"/>
      <c r="G367" s="51"/>
      <c r="H367" s="51"/>
      <c r="I367" s="51"/>
      <c r="J367" s="51"/>
    </row>
    <row r="368" spans="6:10" ht="15.75" customHeight="1">
      <c r="F368" s="51"/>
      <c r="G368" s="51"/>
      <c r="H368" s="51"/>
      <c r="I368" s="51"/>
      <c r="J368" s="51"/>
    </row>
    <row r="369" spans="6:10" ht="15.75" customHeight="1">
      <c r="F369" s="51"/>
      <c r="G369" s="51"/>
      <c r="H369" s="51"/>
      <c r="I369" s="51"/>
      <c r="J369" s="51"/>
    </row>
    <row r="370" spans="6:10" ht="15.75" customHeight="1">
      <c r="F370" s="51"/>
      <c r="G370" s="51"/>
      <c r="H370" s="51"/>
      <c r="I370" s="51"/>
      <c r="J370" s="51"/>
    </row>
    <row r="371" spans="6:10" ht="15.75" customHeight="1">
      <c r="F371" s="51"/>
      <c r="G371" s="51"/>
      <c r="H371" s="51"/>
      <c r="I371" s="51"/>
      <c r="J371" s="51"/>
    </row>
    <row r="372" spans="6:10" ht="15.75" customHeight="1">
      <c r="F372" s="51"/>
      <c r="G372" s="51"/>
      <c r="H372" s="51"/>
      <c r="I372" s="51"/>
      <c r="J372" s="51"/>
    </row>
    <row r="373" spans="6:10" ht="15.75" customHeight="1">
      <c r="F373" s="51"/>
      <c r="G373" s="51"/>
      <c r="H373" s="51"/>
      <c r="I373" s="51"/>
      <c r="J373" s="51"/>
    </row>
    <row r="374" spans="6:10" ht="15.75" customHeight="1">
      <c r="F374" s="51"/>
      <c r="G374" s="51"/>
      <c r="H374" s="51"/>
      <c r="I374" s="51"/>
      <c r="J374" s="51"/>
    </row>
    <row r="375" spans="6:10" ht="15.75" customHeight="1">
      <c r="F375" s="51"/>
      <c r="G375" s="51"/>
      <c r="H375" s="51"/>
      <c r="I375" s="51"/>
      <c r="J375" s="51"/>
    </row>
    <row r="376" spans="6:10" ht="15.75" customHeight="1">
      <c r="F376" s="51"/>
      <c r="G376" s="51"/>
      <c r="H376" s="51"/>
      <c r="I376" s="51"/>
      <c r="J376" s="51"/>
    </row>
    <row r="377" spans="6:10" ht="15.75" customHeight="1">
      <c r="F377" s="51"/>
      <c r="G377" s="51"/>
      <c r="H377" s="51"/>
      <c r="I377" s="51"/>
      <c r="J377" s="51"/>
    </row>
    <row r="378" spans="6:10" ht="15.75" customHeight="1">
      <c r="F378" s="51"/>
      <c r="G378" s="51"/>
      <c r="H378" s="51"/>
      <c r="I378" s="51"/>
      <c r="J378" s="51"/>
    </row>
    <row r="379" spans="6:10" ht="15.75" customHeight="1">
      <c r="F379" s="51"/>
      <c r="G379" s="51"/>
      <c r="H379" s="51"/>
      <c r="I379" s="51"/>
      <c r="J379" s="51"/>
    </row>
    <row r="380" spans="6:10" ht="15.75" customHeight="1">
      <c r="F380" s="51"/>
      <c r="G380" s="51"/>
      <c r="H380" s="51"/>
      <c r="I380" s="51"/>
      <c r="J380" s="51"/>
    </row>
    <row r="381" spans="6:10" ht="15.75" customHeight="1">
      <c r="F381" s="51"/>
      <c r="G381" s="51"/>
      <c r="H381" s="51"/>
      <c r="I381" s="51"/>
      <c r="J381" s="51"/>
    </row>
    <row r="382" spans="6:10" ht="15.75" customHeight="1">
      <c r="F382" s="51"/>
      <c r="G382" s="51"/>
      <c r="H382" s="51"/>
      <c r="I382" s="51"/>
      <c r="J382" s="51"/>
    </row>
    <row r="383" spans="6:10" ht="15.75" customHeight="1">
      <c r="F383" s="51"/>
      <c r="G383" s="51"/>
      <c r="H383" s="51"/>
      <c r="I383" s="51"/>
      <c r="J383" s="51"/>
    </row>
    <row r="384" spans="6:10" ht="15.75" customHeight="1">
      <c r="F384" s="51"/>
      <c r="G384" s="51"/>
      <c r="H384" s="51"/>
      <c r="I384" s="51"/>
      <c r="J384" s="51"/>
    </row>
    <row r="385" spans="6:10" ht="15.75" customHeight="1">
      <c r="F385" s="51"/>
      <c r="G385" s="51"/>
      <c r="H385" s="51"/>
      <c r="I385" s="51"/>
      <c r="J385" s="51"/>
    </row>
    <row r="386" spans="6:10" ht="15.75" customHeight="1">
      <c r="F386" s="51"/>
      <c r="G386" s="51"/>
      <c r="H386" s="51"/>
      <c r="I386" s="51"/>
      <c r="J386" s="51"/>
    </row>
    <row r="387" spans="6:10" ht="15.75" customHeight="1">
      <c r="F387" s="51"/>
      <c r="G387" s="51"/>
      <c r="H387" s="51"/>
      <c r="I387" s="51"/>
      <c r="J387" s="51"/>
    </row>
    <row r="388" spans="6:10" ht="15.75" customHeight="1">
      <c r="F388" s="51"/>
      <c r="G388" s="51"/>
      <c r="H388" s="51"/>
      <c r="I388" s="51"/>
      <c r="J388" s="51"/>
    </row>
    <row r="389" spans="6:10" ht="15.75" customHeight="1">
      <c r="F389" s="51"/>
      <c r="G389" s="51"/>
      <c r="H389" s="51"/>
      <c r="I389" s="51"/>
      <c r="J389" s="51"/>
    </row>
    <row r="390" spans="6:10" ht="15.75" customHeight="1">
      <c r="F390" s="51"/>
      <c r="G390" s="51"/>
      <c r="H390" s="51"/>
      <c r="I390" s="51"/>
      <c r="J390" s="51"/>
    </row>
    <row r="391" spans="6:10" ht="15.75" customHeight="1">
      <c r="F391" s="51"/>
      <c r="G391" s="51"/>
      <c r="H391" s="51"/>
      <c r="I391" s="51"/>
      <c r="J391" s="51"/>
    </row>
    <row r="392" spans="6:10" ht="15.75" customHeight="1">
      <c r="F392" s="51"/>
      <c r="G392" s="51"/>
      <c r="H392" s="51"/>
      <c r="I392" s="51"/>
      <c r="J392" s="51"/>
    </row>
    <row r="393" spans="6:10" ht="15.75" customHeight="1">
      <c r="F393" s="51"/>
      <c r="G393" s="51"/>
      <c r="H393" s="51"/>
      <c r="I393" s="51"/>
      <c r="J393" s="51"/>
    </row>
    <row r="394" spans="6:10" ht="15.75" customHeight="1">
      <c r="F394" s="51"/>
      <c r="G394" s="51"/>
      <c r="H394" s="51"/>
      <c r="I394" s="51"/>
      <c r="J394" s="51"/>
    </row>
    <row r="395" spans="6:10" ht="15.75" customHeight="1">
      <c r="F395" s="51"/>
      <c r="G395" s="51"/>
      <c r="H395" s="51"/>
      <c r="I395" s="51"/>
      <c r="J395" s="51"/>
    </row>
    <row r="396" spans="6:10" ht="15.75" customHeight="1">
      <c r="F396" s="51"/>
      <c r="G396" s="51"/>
      <c r="H396" s="51"/>
      <c r="I396" s="51"/>
      <c r="J396" s="51"/>
    </row>
    <row r="397" spans="6:10" ht="15.75" customHeight="1">
      <c r="F397" s="51"/>
      <c r="G397" s="51"/>
      <c r="H397" s="51"/>
      <c r="I397" s="51"/>
      <c r="J397" s="51"/>
    </row>
    <row r="398" spans="6:10" ht="15.75" customHeight="1">
      <c r="F398" s="51"/>
      <c r="G398" s="51"/>
      <c r="H398" s="51"/>
      <c r="I398" s="51"/>
      <c r="J398" s="51"/>
    </row>
    <row r="399" spans="6:10" ht="15.75" customHeight="1">
      <c r="F399" s="51"/>
      <c r="G399" s="51"/>
      <c r="H399" s="51"/>
      <c r="I399" s="51"/>
      <c r="J399" s="51"/>
    </row>
    <row r="400" spans="6:10" ht="15.75" customHeight="1">
      <c r="F400" s="51"/>
      <c r="G400" s="51"/>
      <c r="H400" s="51"/>
      <c r="I400" s="51"/>
      <c r="J400" s="51"/>
    </row>
    <row r="401" spans="6:10" ht="15.75" customHeight="1">
      <c r="F401" s="51"/>
      <c r="G401" s="51"/>
      <c r="H401" s="51"/>
      <c r="I401" s="51"/>
      <c r="J401" s="51"/>
    </row>
    <row r="402" spans="6:10" ht="15.75" customHeight="1">
      <c r="F402" s="51"/>
      <c r="G402" s="51"/>
      <c r="H402" s="51"/>
      <c r="I402" s="51"/>
      <c r="J402" s="51"/>
    </row>
    <row r="403" spans="6:10" ht="15.75" customHeight="1">
      <c r="F403" s="51"/>
      <c r="G403" s="51"/>
      <c r="H403" s="51"/>
      <c r="I403" s="51"/>
      <c r="J403" s="51"/>
    </row>
    <row r="404" spans="6:10" ht="15.75" customHeight="1">
      <c r="F404" s="51"/>
      <c r="G404" s="51"/>
      <c r="H404" s="51"/>
      <c r="I404" s="51"/>
      <c r="J404" s="51"/>
    </row>
    <row r="405" spans="6:10" ht="15.75" customHeight="1">
      <c r="F405" s="51"/>
      <c r="G405" s="51"/>
      <c r="H405" s="51"/>
      <c r="I405" s="51"/>
      <c r="J405" s="51"/>
    </row>
    <row r="406" spans="6:10" ht="15.75" customHeight="1">
      <c r="F406" s="51"/>
      <c r="G406" s="51"/>
      <c r="H406" s="51"/>
      <c r="I406" s="51"/>
      <c r="J406" s="51"/>
    </row>
    <row r="407" spans="6:10" ht="15.75" customHeight="1">
      <c r="F407" s="51"/>
      <c r="G407" s="51"/>
      <c r="H407" s="51"/>
      <c r="I407" s="51"/>
      <c r="J407" s="51"/>
    </row>
    <row r="408" spans="6:10" ht="15.75" customHeight="1">
      <c r="F408" s="51"/>
      <c r="G408" s="51"/>
      <c r="H408" s="51"/>
      <c r="I408" s="51"/>
      <c r="J408" s="51"/>
    </row>
    <row r="409" spans="6:10" ht="15.75" customHeight="1">
      <c r="F409" s="51"/>
      <c r="G409" s="51"/>
      <c r="H409" s="51"/>
      <c r="I409" s="51"/>
      <c r="J409" s="51"/>
    </row>
    <row r="410" spans="6:10" ht="15.75" customHeight="1">
      <c r="F410" s="51"/>
      <c r="G410" s="51"/>
      <c r="H410" s="51"/>
      <c r="I410" s="51"/>
      <c r="J410" s="51"/>
    </row>
    <row r="411" spans="6:10" ht="15.75" customHeight="1">
      <c r="F411" s="51"/>
      <c r="G411" s="51"/>
      <c r="H411" s="51"/>
      <c r="I411" s="51"/>
      <c r="J411" s="51"/>
    </row>
    <row r="412" spans="6:10" ht="15.75" customHeight="1">
      <c r="F412" s="51"/>
      <c r="G412" s="51"/>
      <c r="H412" s="51"/>
      <c r="I412" s="51"/>
      <c r="J412" s="51"/>
    </row>
    <row r="413" spans="6:10" ht="15.75" customHeight="1">
      <c r="F413" s="51"/>
      <c r="G413" s="51"/>
      <c r="H413" s="51"/>
      <c r="I413" s="51"/>
      <c r="J413" s="51"/>
    </row>
    <row r="414" spans="6:10" ht="15.75" customHeight="1">
      <c r="F414" s="51"/>
      <c r="G414" s="51"/>
      <c r="H414" s="51"/>
      <c r="I414" s="51"/>
      <c r="J414" s="51"/>
    </row>
    <row r="415" spans="6:10" ht="15.75" customHeight="1">
      <c r="F415" s="51"/>
      <c r="G415" s="51"/>
      <c r="H415" s="51"/>
      <c r="I415" s="51"/>
      <c r="J415" s="51"/>
    </row>
    <row r="416" spans="6:10" ht="15.75" customHeight="1">
      <c r="F416" s="51"/>
      <c r="G416" s="51"/>
      <c r="H416" s="51"/>
      <c r="I416" s="51"/>
      <c r="J416" s="51"/>
    </row>
    <row r="417" spans="6:10" ht="15.75" customHeight="1">
      <c r="F417" s="51"/>
      <c r="G417" s="51"/>
      <c r="H417" s="51"/>
      <c r="I417" s="51"/>
      <c r="J417" s="51"/>
    </row>
    <row r="418" spans="6:10" ht="15.75" customHeight="1">
      <c r="F418" s="51"/>
      <c r="G418" s="51"/>
      <c r="H418" s="51"/>
      <c r="I418" s="51"/>
      <c r="J418" s="51"/>
    </row>
    <row r="419" spans="6:10" ht="15.75" customHeight="1">
      <c r="F419" s="51"/>
      <c r="G419" s="51"/>
      <c r="H419" s="51"/>
      <c r="I419" s="51"/>
      <c r="J419" s="51"/>
    </row>
    <row r="420" spans="6:10" ht="15.75" customHeight="1">
      <c r="F420" s="51"/>
      <c r="G420" s="51"/>
      <c r="H420" s="51"/>
      <c r="I420" s="51"/>
      <c r="J420" s="51"/>
    </row>
    <row r="421" spans="6:10" ht="15.75" customHeight="1">
      <c r="F421" s="51"/>
      <c r="G421" s="51"/>
      <c r="H421" s="51"/>
      <c r="I421" s="51"/>
      <c r="J421" s="51"/>
    </row>
    <row r="422" spans="6:10" ht="15.75" customHeight="1">
      <c r="F422" s="51"/>
      <c r="G422" s="51"/>
      <c r="H422" s="51"/>
      <c r="I422" s="51"/>
      <c r="J422" s="51"/>
    </row>
    <row r="423" spans="6:10" ht="15.75" customHeight="1">
      <c r="F423" s="51"/>
      <c r="G423" s="51"/>
      <c r="H423" s="51"/>
      <c r="I423" s="51"/>
      <c r="J423" s="51"/>
    </row>
    <row r="424" spans="6:10" ht="15.75" customHeight="1">
      <c r="F424" s="51"/>
      <c r="G424" s="51"/>
      <c r="H424" s="51"/>
      <c r="I424" s="51"/>
      <c r="J424" s="51"/>
    </row>
    <row r="425" spans="6:10" ht="15.75" customHeight="1">
      <c r="F425" s="51"/>
      <c r="G425" s="51"/>
      <c r="H425" s="51"/>
      <c r="I425" s="51"/>
      <c r="J425" s="51"/>
    </row>
    <row r="426" spans="6:10" ht="15.75" customHeight="1">
      <c r="F426" s="51"/>
      <c r="G426" s="51"/>
      <c r="H426" s="51"/>
      <c r="I426" s="51"/>
      <c r="J426" s="51"/>
    </row>
    <row r="427" spans="6:10" ht="15.75" customHeight="1">
      <c r="F427" s="51"/>
      <c r="G427" s="51"/>
      <c r="H427" s="51"/>
      <c r="I427" s="51"/>
      <c r="J427" s="51"/>
    </row>
    <row r="428" spans="6:10" ht="15.75" customHeight="1">
      <c r="F428" s="51"/>
      <c r="G428" s="51"/>
      <c r="H428" s="51"/>
      <c r="I428" s="51"/>
      <c r="J428" s="51"/>
    </row>
    <row r="429" spans="6:10" ht="15.75" customHeight="1">
      <c r="F429" s="51"/>
      <c r="G429" s="51"/>
      <c r="H429" s="51"/>
      <c r="I429" s="51"/>
      <c r="J429" s="51"/>
    </row>
    <row r="430" spans="6:10" ht="15.75" customHeight="1">
      <c r="F430" s="51"/>
      <c r="G430" s="51"/>
      <c r="H430" s="51"/>
      <c r="I430" s="51"/>
      <c r="J430" s="51"/>
    </row>
    <row r="431" spans="6:10" ht="15.75" customHeight="1">
      <c r="F431" s="51"/>
      <c r="G431" s="51"/>
      <c r="H431" s="51"/>
      <c r="I431" s="51"/>
      <c r="J431" s="51"/>
    </row>
    <row r="432" spans="6:10" ht="15.75" customHeight="1">
      <c r="F432" s="51"/>
      <c r="G432" s="51"/>
      <c r="H432" s="51"/>
      <c r="I432" s="51"/>
      <c r="J432" s="51"/>
    </row>
    <row r="433" spans="6:10" ht="15.75" customHeight="1">
      <c r="F433" s="51"/>
      <c r="G433" s="51"/>
      <c r="H433" s="51"/>
      <c r="I433" s="51"/>
      <c r="J433" s="51"/>
    </row>
    <row r="434" spans="6:10" ht="15.75" customHeight="1">
      <c r="F434" s="51"/>
      <c r="G434" s="51"/>
      <c r="H434" s="51"/>
      <c r="I434" s="51"/>
      <c r="J434" s="51"/>
    </row>
    <row r="435" spans="6:10" ht="15.75" customHeight="1">
      <c r="F435" s="51"/>
      <c r="G435" s="51"/>
      <c r="H435" s="51"/>
      <c r="I435" s="51"/>
      <c r="J435" s="51"/>
    </row>
    <row r="436" spans="6:10" ht="15.75" customHeight="1">
      <c r="F436" s="51"/>
      <c r="G436" s="51"/>
      <c r="H436" s="51"/>
      <c r="I436" s="51"/>
      <c r="J436" s="51"/>
    </row>
    <row r="437" spans="6:10" ht="15.75" customHeight="1">
      <c r="F437" s="51"/>
      <c r="G437" s="51"/>
      <c r="H437" s="51"/>
      <c r="I437" s="51"/>
      <c r="J437" s="51"/>
    </row>
    <row r="438" spans="6:10" ht="15.75" customHeight="1">
      <c r="F438" s="51"/>
      <c r="G438" s="51"/>
      <c r="H438" s="51"/>
      <c r="I438" s="51"/>
      <c r="J438" s="51"/>
    </row>
    <row r="439" spans="6:10" ht="15.75" customHeight="1">
      <c r="F439" s="51"/>
      <c r="G439" s="51"/>
      <c r="H439" s="51"/>
      <c r="I439" s="51"/>
      <c r="J439" s="51"/>
    </row>
    <row r="440" spans="6:10" ht="15.75" customHeight="1">
      <c r="F440" s="51"/>
      <c r="G440" s="51"/>
      <c r="H440" s="51"/>
      <c r="I440" s="51"/>
      <c r="J440" s="51"/>
    </row>
    <row r="441" spans="6:10" ht="15.75" customHeight="1">
      <c r="F441" s="51"/>
      <c r="G441" s="51"/>
      <c r="H441" s="51"/>
      <c r="I441" s="51"/>
      <c r="J441" s="51"/>
    </row>
    <row r="442" spans="6:10" ht="15.75" customHeight="1">
      <c r="F442" s="51"/>
      <c r="G442" s="51"/>
      <c r="H442" s="51"/>
      <c r="I442" s="51"/>
      <c r="J442" s="51"/>
    </row>
    <row r="443" spans="6:10" ht="15.75" customHeight="1">
      <c r="F443" s="51"/>
      <c r="G443" s="51"/>
      <c r="H443" s="51"/>
      <c r="I443" s="51"/>
      <c r="J443" s="51"/>
    </row>
    <row r="444" spans="6:10" ht="15.75" customHeight="1">
      <c r="F444" s="51"/>
      <c r="G444" s="51"/>
      <c r="H444" s="51"/>
      <c r="I444" s="51"/>
      <c r="J444" s="51"/>
    </row>
    <row r="445" spans="6:10" ht="15.75" customHeight="1">
      <c r="F445" s="51"/>
      <c r="G445" s="51"/>
      <c r="H445" s="51"/>
      <c r="I445" s="51"/>
      <c r="J445" s="51"/>
    </row>
    <row r="446" spans="6:10" ht="15.75" customHeight="1">
      <c r="F446" s="51"/>
      <c r="G446" s="51"/>
      <c r="H446" s="51"/>
      <c r="I446" s="51"/>
      <c r="J446" s="51"/>
    </row>
    <row r="447" spans="6:10" ht="15.75" customHeight="1">
      <c r="F447" s="51"/>
      <c r="G447" s="51"/>
      <c r="H447" s="51"/>
      <c r="I447" s="51"/>
      <c r="J447" s="51"/>
    </row>
    <row r="448" spans="6:10" ht="15.75" customHeight="1">
      <c r="F448" s="51"/>
      <c r="G448" s="51"/>
      <c r="H448" s="51"/>
      <c r="I448" s="51"/>
      <c r="J448" s="51"/>
    </row>
    <row r="449" spans="6:10" ht="15.75" customHeight="1">
      <c r="F449" s="51"/>
      <c r="G449" s="51"/>
      <c r="H449" s="51"/>
      <c r="I449" s="51"/>
      <c r="J449" s="51"/>
    </row>
    <row r="450" spans="6:10" ht="15.75" customHeight="1">
      <c r="F450" s="51"/>
      <c r="G450" s="51"/>
      <c r="H450" s="51"/>
      <c r="I450" s="51"/>
      <c r="J450" s="51"/>
    </row>
    <row r="451" spans="6:10" ht="15.75" customHeight="1">
      <c r="F451" s="51"/>
      <c r="G451" s="51"/>
      <c r="H451" s="51"/>
      <c r="I451" s="51"/>
      <c r="J451" s="51"/>
    </row>
    <row r="452" spans="6:10" ht="15.75" customHeight="1">
      <c r="F452" s="51"/>
      <c r="G452" s="51"/>
      <c r="H452" s="51"/>
      <c r="I452" s="51"/>
      <c r="J452" s="51"/>
    </row>
    <row r="453" spans="6:10" ht="15.75" customHeight="1">
      <c r="F453" s="51"/>
      <c r="G453" s="51"/>
      <c r="H453" s="51"/>
      <c r="I453" s="51"/>
      <c r="J453" s="51"/>
    </row>
    <row r="454" spans="6:10" ht="15.75" customHeight="1">
      <c r="F454" s="51"/>
      <c r="G454" s="51"/>
      <c r="H454" s="51"/>
      <c r="I454" s="51"/>
      <c r="J454" s="51"/>
    </row>
    <row r="455" spans="6:10" ht="15.75" customHeight="1">
      <c r="F455" s="51"/>
      <c r="G455" s="51"/>
      <c r="H455" s="51"/>
      <c r="I455" s="51"/>
      <c r="J455" s="51"/>
    </row>
    <row r="456" spans="6:10" ht="15.75" customHeight="1">
      <c r="F456" s="51"/>
      <c r="G456" s="51"/>
      <c r="H456" s="51"/>
      <c r="I456" s="51"/>
      <c r="J456" s="51"/>
    </row>
    <row r="457" spans="6:10" ht="15.75" customHeight="1">
      <c r="F457" s="51"/>
      <c r="G457" s="51"/>
      <c r="H457" s="51"/>
      <c r="I457" s="51"/>
      <c r="J457" s="51"/>
    </row>
    <row r="458" spans="6:10" ht="15.75" customHeight="1">
      <c r="F458" s="51"/>
      <c r="G458" s="51"/>
      <c r="H458" s="51"/>
      <c r="I458" s="51"/>
      <c r="J458" s="51"/>
    </row>
    <row r="459" spans="6:10" ht="15.75" customHeight="1">
      <c r="F459" s="51"/>
      <c r="G459" s="51"/>
      <c r="H459" s="51"/>
      <c r="I459" s="51"/>
      <c r="J459" s="51"/>
    </row>
    <row r="460" spans="6:10" ht="15.75" customHeight="1">
      <c r="F460" s="51"/>
      <c r="G460" s="51"/>
      <c r="H460" s="51"/>
      <c r="I460" s="51"/>
      <c r="J460" s="51"/>
    </row>
    <row r="461" spans="6:10" ht="15.75" customHeight="1">
      <c r="F461" s="51"/>
      <c r="G461" s="51"/>
      <c r="H461" s="51"/>
      <c r="I461" s="51"/>
      <c r="J461" s="51"/>
    </row>
    <row r="462" spans="6:10" ht="15.75" customHeight="1">
      <c r="F462" s="51"/>
      <c r="G462" s="51"/>
      <c r="H462" s="51"/>
      <c r="I462" s="51"/>
      <c r="J462" s="51"/>
    </row>
    <row r="463" spans="6:10" ht="15.75" customHeight="1">
      <c r="F463" s="51"/>
      <c r="G463" s="51"/>
      <c r="H463" s="51"/>
      <c r="I463" s="51"/>
      <c r="J463" s="51"/>
    </row>
    <row r="464" spans="6:10" ht="15.75" customHeight="1">
      <c r="F464" s="51"/>
      <c r="G464" s="51"/>
      <c r="H464" s="51"/>
      <c r="I464" s="51"/>
      <c r="J464" s="51"/>
    </row>
    <row r="465" spans="6:10" ht="15.75" customHeight="1">
      <c r="F465" s="51"/>
      <c r="G465" s="51"/>
      <c r="H465" s="51"/>
      <c r="I465" s="51"/>
      <c r="J465" s="51"/>
    </row>
    <row r="466" spans="6:10" ht="15.75" customHeight="1">
      <c r="F466" s="51"/>
      <c r="G466" s="51"/>
      <c r="H466" s="51"/>
      <c r="I466" s="51"/>
      <c r="J466" s="51"/>
    </row>
    <row r="467" spans="6:10" ht="15.75" customHeight="1">
      <c r="F467" s="51"/>
      <c r="G467" s="51"/>
      <c r="H467" s="51"/>
      <c r="I467" s="51"/>
      <c r="J467" s="51"/>
    </row>
    <row r="468" spans="6:10" ht="15.75" customHeight="1">
      <c r="F468" s="51"/>
      <c r="G468" s="51"/>
      <c r="H468" s="51"/>
      <c r="I468" s="51"/>
      <c r="J468" s="51"/>
    </row>
    <row r="469" spans="6:10" ht="15.75" customHeight="1">
      <c r="F469" s="51"/>
      <c r="G469" s="51"/>
      <c r="H469" s="51"/>
      <c r="I469" s="51"/>
      <c r="J469" s="51"/>
    </row>
    <row r="470" spans="6:10" ht="15.75" customHeight="1">
      <c r="F470" s="51"/>
      <c r="G470" s="51"/>
      <c r="H470" s="51"/>
      <c r="I470" s="51"/>
      <c r="J470" s="51"/>
    </row>
    <row r="471" spans="6:10" ht="15.75" customHeight="1">
      <c r="F471" s="51"/>
      <c r="G471" s="51"/>
      <c r="H471" s="51"/>
      <c r="I471" s="51"/>
      <c r="J471" s="51"/>
    </row>
    <row r="472" spans="6:10" ht="15.75" customHeight="1">
      <c r="F472" s="51"/>
      <c r="G472" s="51"/>
      <c r="H472" s="51"/>
      <c r="I472" s="51"/>
      <c r="J472" s="51"/>
    </row>
    <row r="473" spans="6:10" ht="15.75" customHeight="1">
      <c r="F473" s="51"/>
      <c r="G473" s="51"/>
      <c r="H473" s="51"/>
      <c r="I473" s="51"/>
      <c r="J473" s="51"/>
    </row>
    <row r="474" spans="6:10" ht="15.75" customHeight="1">
      <c r="F474" s="51"/>
      <c r="G474" s="51"/>
      <c r="H474" s="51"/>
      <c r="I474" s="51"/>
      <c r="J474" s="51"/>
    </row>
    <row r="475" spans="6:10" ht="15.75" customHeight="1">
      <c r="F475" s="51"/>
      <c r="G475" s="51"/>
      <c r="H475" s="51"/>
      <c r="I475" s="51"/>
      <c r="J475" s="51"/>
    </row>
    <row r="476" spans="6:10" ht="15.75" customHeight="1">
      <c r="F476" s="51"/>
      <c r="G476" s="51"/>
      <c r="H476" s="51"/>
      <c r="I476" s="51"/>
      <c r="J476" s="51"/>
    </row>
    <row r="477" spans="6:10" ht="15.75" customHeight="1">
      <c r="F477" s="51"/>
      <c r="G477" s="51"/>
      <c r="H477" s="51"/>
      <c r="I477" s="51"/>
      <c r="J477" s="51"/>
    </row>
    <row r="478" spans="6:10" ht="15.75" customHeight="1">
      <c r="F478" s="51"/>
      <c r="G478" s="51"/>
      <c r="H478" s="51"/>
      <c r="I478" s="51"/>
      <c r="J478" s="51"/>
    </row>
    <row r="479" spans="6:10" ht="15.75" customHeight="1">
      <c r="F479" s="51"/>
      <c r="G479" s="51"/>
      <c r="H479" s="51"/>
      <c r="I479" s="51"/>
      <c r="J479" s="51"/>
    </row>
    <row r="480" spans="6:10" ht="15.75" customHeight="1">
      <c r="F480" s="51"/>
      <c r="G480" s="51"/>
      <c r="H480" s="51"/>
      <c r="I480" s="51"/>
      <c r="J480" s="51"/>
    </row>
    <row r="481" spans="6:10" ht="15.75" customHeight="1">
      <c r="F481" s="51"/>
      <c r="G481" s="51"/>
      <c r="H481" s="51"/>
      <c r="I481" s="51"/>
      <c r="J481" s="51"/>
    </row>
    <row r="482" spans="6:10" ht="15.75" customHeight="1">
      <c r="F482" s="51"/>
      <c r="G482" s="51"/>
      <c r="H482" s="51"/>
      <c r="I482" s="51"/>
      <c r="J482" s="51"/>
    </row>
    <row r="483" spans="6:10" ht="15.75" customHeight="1">
      <c r="F483" s="51"/>
      <c r="G483" s="51"/>
      <c r="H483" s="51"/>
      <c r="I483" s="51"/>
      <c r="J483" s="51"/>
    </row>
    <row r="484" spans="6:10" ht="15.75" customHeight="1">
      <c r="F484" s="51"/>
      <c r="G484" s="51"/>
      <c r="H484" s="51"/>
      <c r="I484" s="51"/>
      <c r="J484" s="51"/>
    </row>
    <row r="485" spans="6:10" ht="15.75" customHeight="1">
      <c r="F485" s="51"/>
      <c r="G485" s="51"/>
      <c r="H485" s="51"/>
      <c r="I485" s="51"/>
      <c r="J485" s="51"/>
    </row>
    <row r="486" spans="6:10" ht="15.75" customHeight="1">
      <c r="F486" s="51"/>
      <c r="G486" s="51"/>
      <c r="H486" s="51"/>
      <c r="I486" s="51"/>
      <c r="J486" s="51"/>
    </row>
    <row r="487" spans="6:10" ht="15.75" customHeight="1">
      <c r="F487" s="51"/>
      <c r="G487" s="51"/>
      <c r="H487" s="51"/>
      <c r="I487" s="51"/>
      <c r="J487" s="51"/>
    </row>
    <row r="488" spans="6:10" ht="15.75" customHeight="1">
      <c r="F488" s="51"/>
      <c r="G488" s="51"/>
      <c r="H488" s="51"/>
      <c r="I488" s="51"/>
      <c r="J488" s="51"/>
    </row>
    <row r="489" spans="6:10" ht="15.75" customHeight="1">
      <c r="F489" s="51"/>
      <c r="G489" s="51"/>
      <c r="H489" s="51"/>
      <c r="I489" s="51"/>
      <c r="J489" s="51"/>
    </row>
    <row r="490" spans="6:10" ht="15.75" customHeight="1">
      <c r="F490" s="51"/>
      <c r="G490" s="51"/>
      <c r="H490" s="51"/>
      <c r="I490" s="51"/>
      <c r="J490" s="51"/>
    </row>
    <row r="491" spans="6:10" ht="15.75" customHeight="1">
      <c r="F491" s="51"/>
      <c r="G491" s="51"/>
      <c r="H491" s="51"/>
      <c r="I491" s="51"/>
      <c r="J491" s="51"/>
    </row>
    <row r="492" spans="6:10" ht="15.75" customHeight="1">
      <c r="F492" s="51"/>
      <c r="G492" s="51"/>
      <c r="H492" s="51"/>
      <c r="I492" s="51"/>
      <c r="J492" s="51"/>
    </row>
    <row r="493" spans="6:10" ht="15.75" customHeight="1">
      <c r="F493" s="51"/>
      <c r="G493" s="51"/>
      <c r="H493" s="51"/>
      <c r="I493" s="51"/>
      <c r="J493" s="51"/>
    </row>
    <row r="494" spans="6:10" ht="15.75" customHeight="1">
      <c r="F494" s="51"/>
      <c r="G494" s="51"/>
      <c r="H494" s="51"/>
      <c r="I494" s="51"/>
      <c r="J494" s="51"/>
    </row>
    <row r="495" spans="6:10" ht="15.75" customHeight="1">
      <c r="F495" s="51"/>
      <c r="G495" s="51"/>
      <c r="H495" s="51"/>
      <c r="I495" s="51"/>
      <c r="J495" s="51"/>
    </row>
    <row r="496" spans="6:10" ht="15.75" customHeight="1">
      <c r="F496" s="51"/>
      <c r="G496" s="51"/>
      <c r="H496" s="51"/>
      <c r="I496" s="51"/>
      <c r="J496" s="51"/>
    </row>
    <row r="497" spans="6:10" ht="15.75" customHeight="1">
      <c r="F497" s="51"/>
      <c r="G497" s="51"/>
      <c r="H497" s="51"/>
      <c r="I497" s="51"/>
      <c r="J497" s="51"/>
    </row>
    <row r="498" spans="6:10" ht="15.75" customHeight="1">
      <c r="F498" s="51"/>
      <c r="G498" s="51"/>
      <c r="H498" s="51"/>
      <c r="I498" s="51"/>
      <c r="J498" s="51"/>
    </row>
    <row r="499" spans="6:10" ht="15.75" customHeight="1">
      <c r="F499" s="51"/>
      <c r="G499" s="51"/>
      <c r="H499" s="51"/>
      <c r="I499" s="51"/>
      <c r="J499" s="51"/>
    </row>
    <row r="500" spans="6:10" ht="15.75" customHeight="1">
      <c r="F500" s="51"/>
      <c r="G500" s="51"/>
      <c r="H500" s="51"/>
      <c r="I500" s="51"/>
      <c r="J500" s="51"/>
    </row>
    <row r="501" spans="6:10" ht="15.75" customHeight="1">
      <c r="F501" s="51"/>
      <c r="G501" s="51"/>
      <c r="H501" s="51"/>
      <c r="I501" s="51"/>
      <c r="J501" s="51"/>
    </row>
    <row r="502" spans="6:10" ht="15.75" customHeight="1">
      <c r="F502" s="51"/>
      <c r="G502" s="51"/>
      <c r="H502" s="51"/>
      <c r="I502" s="51"/>
      <c r="J502" s="51"/>
    </row>
    <row r="503" spans="6:10" ht="15.75" customHeight="1">
      <c r="F503" s="51"/>
      <c r="G503" s="51"/>
      <c r="H503" s="51"/>
      <c r="I503" s="51"/>
      <c r="J503" s="51"/>
    </row>
    <row r="504" spans="6:10" ht="15.75" customHeight="1">
      <c r="F504" s="51"/>
      <c r="G504" s="51"/>
      <c r="H504" s="51"/>
      <c r="I504" s="51"/>
      <c r="J504" s="51"/>
    </row>
    <row r="505" spans="6:10" ht="15.75" customHeight="1">
      <c r="F505" s="51"/>
      <c r="G505" s="51"/>
      <c r="H505" s="51"/>
      <c r="I505" s="51"/>
      <c r="J505" s="51"/>
    </row>
    <row r="506" spans="6:10" ht="15.75" customHeight="1">
      <c r="F506" s="51"/>
      <c r="G506" s="51"/>
      <c r="H506" s="51"/>
      <c r="I506" s="51"/>
      <c r="J506" s="51"/>
    </row>
    <row r="507" spans="6:10" ht="15.75" customHeight="1">
      <c r="F507" s="51"/>
      <c r="G507" s="51"/>
      <c r="H507" s="51"/>
      <c r="I507" s="51"/>
      <c r="J507" s="51"/>
    </row>
    <row r="508" spans="6:10" ht="15.75" customHeight="1">
      <c r="F508" s="51"/>
      <c r="G508" s="51"/>
      <c r="H508" s="51"/>
      <c r="I508" s="51"/>
      <c r="J508" s="51"/>
    </row>
    <row r="509" spans="6:10" ht="15.75" customHeight="1">
      <c r="F509" s="51"/>
      <c r="G509" s="51"/>
      <c r="H509" s="51"/>
      <c r="I509" s="51"/>
      <c r="J509" s="51"/>
    </row>
    <row r="510" spans="6:10" ht="15.75" customHeight="1">
      <c r="F510" s="51"/>
      <c r="G510" s="51"/>
      <c r="H510" s="51"/>
      <c r="I510" s="51"/>
      <c r="J510" s="51"/>
    </row>
    <row r="511" spans="6:10" ht="15.75" customHeight="1">
      <c r="F511" s="51"/>
      <c r="G511" s="51"/>
      <c r="H511" s="51"/>
      <c r="I511" s="51"/>
      <c r="J511" s="51"/>
    </row>
    <row r="512" spans="6:10" ht="15.75" customHeight="1">
      <c r="F512" s="51"/>
      <c r="G512" s="51"/>
      <c r="H512" s="51"/>
      <c r="I512" s="51"/>
      <c r="J512" s="51"/>
    </row>
    <row r="513" spans="6:10" ht="15.75" customHeight="1">
      <c r="F513" s="51"/>
      <c r="G513" s="51"/>
      <c r="H513" s="51"/>
      <c r="I513" s="51"/>
      <c r="J513" s="51"/>
    </row>
    <row r="514" spans="6:10" ht="15.75" customHeight="1">
      <c r="F514" s="51"/>
      <c r="G514" s="51"/>
      <c r="H514" s="51"/>
      <c r="I514" s="51"/>
      <c r="J514" s="51"/>
    </row>
    <row r="515" spans="6:10" ht="15.75" customHeight="1">
      <c r="F515" s="51"/>
      <c r="G515" s="51"/>
      <c r="H515" s="51"/>
      <c r="I515" s="51"/>
      <c r="J515" s="51"/>
    </row>
    <row r="516" spans="6:10" ht="15.75" customHeight="1">
      <c r="F516" s="51"/>
      <c r="G516" s="51"/>
      <c r="H516" s="51"/>
      <c r="I516" s="51"/>
      <c r="J516" s="51"/>
    </row>
    <row r="517" spans="6:10" ht="15.75" customHeight="1">
      <c r="F517" s="51"/>
      <c r="G517" s="51"/>
      <c r="H517" s="51"/>
      <c r="I517" s="51"/>
      <c r="J517" s="51"/>
    </row>
    <row r="518" spans="6:10" ht="15.75" customHeight="1">
      <c r="F518" s="51"/>
      <c r="G518" s="51"/>
      <c r="H518" s="51"/>
      <c r="I518" s="51"/>
      <c r="J518" s="51"/>
    </row>
    <row r="519" spans="6:10" ht="15.75" customHeight="1">
      <c r="F519" s="51"/>
      <c r="G519" s="51"/>
      <c r="H519" s="51"/>
      <c r="I519" s="51"/>
      <c r="J519" s="51"/>
    </row>
    <row r="520" spans="6:10" ht="15.75" customHeight="1">
      <c r="F520" s="51"/>
      <c r="G520" s="51"/>
      <c r="H520" s="51"/>
      <c r="I520" s="51"/>
      <c r="J520" s="51"/>
    </row>
    <row r="521" spans="6:10" ht="15.75" customHeight="1">
      <c r="F521" s="51"/>
      <c r="G521" s="51"/>
      <c r="H521" s="51"/>
      <c r="I521" s="51"/>
      <c r="J521" s="51"/>
    </row>
    <row r="522" spans="6:10" ht="15.75" customHeight="1">
      <c r="F522" s="51"/>
      <c r="G522" s="51"/>
      <c r="H522" s="51"/>
      <c r="I522" s="51"/>
      <c r="J522" s="51"/>
    </row>
    <row r="523" spans="6:10" ht="15.75" customHeight="1">
      <c r="F523" s="51"/>
      <c r="G523" s="51"/>
      <c r="H523" s="51"/>
      <c r="I523" s="51"/>
      <c r="J523" s="51"/>
    </row>
    <row r="524" spans="6:10" ht="15.75" customHeight="1">
      <c r="F524" s="51"/>
      <c r="G524" s="51"/>
      <c r="H524" s="51"/>
      <c r="I524" s="51"/>
      <c r="J524" s="51"/>
    </row>
    <row r="525" spans="6:10" ht="15.75" customHeight="1">
      <c r="F525" s="51"/>
      <c r="G525" s="51"/>
      <c r="H525" s="51"/>
      <c r="I525" s="51"/>
      <c r="J525" s="51"/>
    </row>
    <row r="526" spans="6:10" ht="15.75" customHeight="1">
      <c r="F526" s="51"/>
      <c r="G526" s="51"/>
      <c r="H526" s="51"/>
      <c r="I526" s="51"/>
      <c r="J526" s="51"/>
    </row>
    <row r="527" spans="6:10" ht="15.75" customHeight="1">
      <c r="F527" s="51"/>
      <c r="G527" s="51"/>
      <c r="H527" s="51"/>
      <c r="I527" s="51"/>
      <c r="J527" s="51"/>
    </row>
    <row r="528" spans="6:10" ht="15.75" customHeight="1">
      <c r="F528" s="51"/>
      <c r="G528" s="51"/>
      <c r="H528" s="51"/>
      <c r="I528" s="51"/>
      <c r="J528" s="51"/>
    </row>
    <row r="529" spans="6:10" ht="15.75" customHeight="1">
      <c r="F529" s="51"/>
      <c r="G529" s="51"/>
      <c r="H529" s="51"/>
      <c r="I529" s="51"/>
      <c r="J529" s="51"/>
    </row>
    <row r="530" spans="6:10" ht="15.75" customHeight="1">
      <c r="F530" s="51"/>
      <c r="G530" s="51"/>
      <c r="H530" s="51"/>
      <c r="I530" s="51"/>
      <c r="J530" s="51"/>
    </row>
    <row r="531" spans="6:10" ht="15.75" customHeight="1">
      <c r="F531" s="51"/>
      <c r="G531" s="51"/>
      <c r="H531" s="51"/>
      <c r="I531" s="51"/>
      <c r="J531" s="51"/>
    </row>
    <row r="532" spans="6:10" ht="15.75" customHeight="1">
      <c r="F532" s="51"/>
      <c r="G532" s="51"/>
      <c r="H532" s="51"/>
      <c r="I532" s="51"/>
      <c r="J532" s="51"/>
    </row>
    <row r="533" spans="6:10" ht="15.75" customHeight="1">
      <c r="F533" s="51"/>
      <c r="G533" s="51"/>
      <c r="H533" s="51"/>
      <c r="I533" s="51"/>
      <c r="J533" s="51"/>
    </row>
    <row r="534" spans="6:10" ht="15.75" customHeight="1">
      <c r="F534" s="51"/>
      <c r="G534" s="51"/>
      <c r="H534" s="51"/>
      <c r="I534" s="51"/>
      <c r="J534" s="51"/>
    </row>
    <row r="535" spans="6:10" ht="15.75" customHeight="1">
      <c r="F535" s="51"/>
      <c r="G535" s="51"/>
      <c r="H535" s="51"/>
      <c r="I535" s="51"/>
      <c r="J535" s="51"/>
    </row>
    <row r="536" spans="6:10" ht="15.75" customHeight="1">
      <c r="F536" s="51"/>
      <c r="G536" s="51"/>
      <c r="H536" s="51"/>
      <c r="I536" s="51"/>
      <c r="J536" s="51"/>
    </row>
    <row r="537" spans="6:10" ht="15.75" customHeight="1">
      <c r="F537" s="51"/>
      <c r="G537" s="51"/>
      <c r="H537" s="51"/>
      <c r="I537" s="51"/>
      <c r="J537" s="51"/>
    </row>
    <row r="538" spans="6:10" ht="15.75" customHeight="1">
      <c r="F538" s="51"/>
      <c r="G538" s="51"/>
      <c r="H538" s="51"/>
      <c r="I538" s="51"/>
      <c r="J538" s="51"/>
    </row>
    <row r="539" spans="6:10" ht="15.75" customHeight="1">
      <c r="F539" s="51"/>
      <c r="G539" s="51"/>
      <c r="H539" s="51"/>
      <c r="I539" s="51"/>
      <c r="J539" s="51"/>
    </row>
    <row r="540" spans="6:10" ht="15.75" customHeight="1">
      <c r="F540" s="51"/>
      <c r="G540" s="51"/>
      <c r="H540" s="51"/>
      <c r="I540" s="51"/>
      <c r="J540" s="51"/>
    </row>
    <row r="541" spans="6:10" ht="15.75" customHeight="1">
      <c r="F541" s="51"/>
      <c r="G541" s="51"/>
      <c r="H541" s="51"/>
      <c r="I541" s="51"/>
      <c r="J541" s="51"/>
    </row>
    <row r="542" spans="6:10" ht="15.75" customHeight="1">
      <c r="F542" s="51"/>
      <c r="G542" s="51"/>
      <c r="H542" s="51"/>
      <c r="I542" s="51"/>
      <c r="J542" s="51"/>
    </row>
    <row r="543" spans="6:10" ht="15.75" customHeight="1">
      <c r="F543" s="51"/>
      <c r="G543" s="51"/>
      <c r="H543" s="51"/>
      <c r="I543" s="51"/>
      <c r="J543" s="51"/>
    </row>
    <row r="544" spans="6:10" ht="15.75" customHeight="1">
      <c r="F544" s="51"/>
      <c r="G544" s="51"/>
      <c r="H544" s="51"/>
      <c r="I544" s="51"/>
      <c r="J544" s="51"/>
    </row>
    <row r="545" spans="6:10" ht="15.75" customHeight="1">
      <c r="F545" s="51"/>
      <c r="G545" s="51"/>
      <c r="H545" s="51"/>
      <c r="I545" s="51"/>
      <c r="J545" s="51"/>
    </row>
    <row r="546" spans="6:10" ht="15.75" customHeight="1">
      <c r="F546" s="51"/>
      <c r="G546" s="51"/>
      <c r="H546" s="51"/>
      <c r="I546" s="51"/>
      <c r="J546" s="51"/>
    </row>
    <row r="547" spans="6:10" ht="15.75" customHeight="1">
      <c r="F547" s="51"/>
      <c r="G547" s="51"/>
      <c r="H547" s="51"/>
      <c r="I547" s="51"/>
      <c r="J547" s="51"/>
    </row>
    <row r="548" spans="6:10" ht="15.75" customHeight="1">
      <c r="F548" s="51"/>
      <c r="G548" s="51"/>
      <c r="H548" s="51"/>
      <c r="I548" s="51"/>
      <c r="J548" s="51"/>
    </row>
    <row r="549" spans="6:10" ht="15.75" customHeight="1">
      <c r="F549" s="51"/>
      <c r="G549" s="51"/>
      <c r="H549" s="51"/>
      <c r="I549" s="51"/>
      <c r="J549" s="51"/>
    </row>
    <row r="550" spans="6:10" ht="15.75" customHeight="1">
      <c r="F550" s="51"/>
      <c r="G550" s="51"/>
      <c r="H550" s="51"/>
      <c r="I550" s="51"/>
      <c r="J550" s="51"/>
    </row>
    <row r="551" spans="6:10" ht="15.75" customHeight="1">
      <c r="F551" s="51"/>
      <c r="G551" s="51"/>
      <c r="H551" s="51"/>
      <c r="I551" s="51"/>
      <c r="J551" s="51"/>
    </row>
    <row r="552" spans="6:10" ht="15.75" customHeight="1">
      <c r="F552" s="51"/>
      <c r="G552" s="51"/>
      <c r="H552" s="51"/>
      <c r="I552" s="51"/>
      <c r="J552" s="51"/>
    </row>
    <row r="553" spans="6:10" ht="15.75" customHeight="1">
      <c r="F553" s="51"/>
      <c r="G553" s="51"/>
      <c r="H553" s="51"/>
      <c r="I553" s="51"/>
      <c r="J553" s="51"/>
    </row>
    <row r="554" spans="6:10" ht="15.75" customHeight="1">
      <c r="F554" s="51"/>
      <c r="G554" s="51"/>
      <c r="H554" s="51"/>
      <c r="I554" s="51"/>
      <c r="J554" s="51"/>
    </row>
    <row r="555" spans="6:10" ht="15.75" customHeight="1">
      <c r="F555" s="51"/>
      <c r="G555" s="51"/>
      <c r="H555" s="51"/>
      <c r="I555" s="51"/>
      <c r="J555" s="51"/>
    </row>
    <row r="556" spans="6:10" ht="15.75" customHeight="1">
      <c r="F556" s="51"/>
      <c r="G556" s="51"/>
      <c r="H556" s="51"/>
      <c r="I556" s="51"/>
      <c r="J556" s="51"/>
    </row>
    <row r="557" spans="6:10" ht="15.75" customHeight="1">
      <c r="F557" s="51"/>
      <c r="G557" s="51"/>
      <c r="H557" s="51"/>
      <c r="I557" s="51"/>
      <c r="J557" s="51"/>
    </row>
    <row r="558" spans="6:10" ht="15.75" customHeight="1">
      <c r="F558" s="51"/>
      <c r="G558" s="51"/>
      <c r="H558" s="51"/>
      <c r="I558" s="51"/>
      <c r="J558" s="51"/>
    </row>
    <row r="559" spans="6:10" ht="15.75" customHeight="1">
      <c r="F559" s="51"/>
      <c r="G559" s="51"/>
      <c r="H559" s="51"/>
      <c r="I559" s="51"/>
      <c r="J559" s="51"/>
    </row>
    <row r="560" spans="6:10" ht="15.75" customHeight="1">
      <c r="F560" s="51"/>
      <c r="G560" s="51"/>
      <c r="H560" s="51"/>
      <c r="I560" s="51"/>
      <c r="J560" s="51"/>
    </row>
    <row r="561" spans="6:10" ht="15.75" customHeight="1">
      <c r="F561" s="51"/>
      <c r="G561" s="51"/>
      <c r="H561" s="51"/>
      <c r="I561" s="51"/>
      <c r="J561" s="51"/>
    </row>
    <row r="562" spans="6:10" ht="15.75" customHeight="1">
      <c r="F562" s="51"/>
      <c r="G562" s="51"/>
      <c r="H562" s="51"/>
      <c r="I562" s="51"/>
      <c r="J562" s="51"/>
    </row>
    <row r="563" spans="6:10" ht="15.75" customHeight="1">
      <c r="F563" s="51"/>
      <c r="G563" s="51"/>
      <c r="H563" s="51"/>
      <c r="I563" s="51"/>
      <c r="J563" s="51"/>
    </row>
    <row r="564" spans="6:10" ht="15.75" customHeight="1">
      <c r="F564" s="51"/>
      <c r="G564" s="51"/>
      <c r="H564" s="51"/>
      <c r="I564" s="51"/>
      <c r="J564" s="51"/>
    </row>
    <row r="565" spans="6:10" ht="15.75" customHeight="1">
      <c r="F565" s="51"/>
      <c r="G565" s="51"/>
      <c r="H565" s="51"/>
      <c r="I565" s="51"/>
      <c r="J565" s="51"/>
    </row>
    <row r="566" spans="6:10" ht="15.75" customHeight="1">
      <c r="F566" s="51"/>
      <c r="G566" s="51"/>
      <c r="H566" s="51"/>
      <c r="I566" s="51"/>
      <c r="J566" s="51"/>
    </row>
    <row r="567" spans="6:10" ht="15.75" customHeight="1">
      <c r="F567" s="51"/>
      <c r="G567" s="51"/>
      <c r="H567" s="51"/>
      <c r="I567" s="51"/>
      <c r="J567" s="51"/>
    </row>
    <row r="568" spans="6:10" ht="15.75" customHeight="1">
      <c r="F568" s="51"/>
      <c r="G568" s="51"/>
      <c r="H568" s="51"/>
      <c r="I568" s="51"/>
      <c r="J568" s="51"/>
    </row>
    <row r="569" spans="6:10" ht="15.75" customHeight="1">
      <c r="F569" s="51"/>
      <c r="G569" s="51"/>
      <c r="H569" s="51"/>
      <c r="I569" s="51"/>
      <c r="J569" s="51"/>
    </row>
    <row r="570" spans="6:10" ht="15.75" customHeight="1">
      <c r="F570" s="51"/>
      <c r="G570" s="51"/>
      <c r="H570" s="51"/>
      <c r="I570" s="51"/>
      <c r="J570" s="51"/>
    </row>
    <row r="571" spans="6:10" ht="15.75" customHeight="1">
      <c r="F571" s="51"/>
      <c r="G571" s="51"/>
      <c r="H571" s="51"/>
      <c r="I571" s="51"/>
      <c r="J571" s="51"/>
    </row>
    <row r="572" spans="6:10" ht="15.75" customHeight="1">
      <c r="F572" s="51"/>
      <c r="G572" s="51"/>
      <c r="H572" s="51"/>
      <c r="I572" s="51"/>
      <c r="J572" s="51"/>
    </row>
    <row r="573" spans="6:10" ht="15.75" customHeight="1">
      <c r="F573" s="51"/>
      <c r="G573" s="51"/>
      <c r="H573" s="51"/>
      <c r="I573" s="51"/>
      <c r="J573" s="51"/>
    </row>
    <row r="574" spans="6:10" ht="15.75" customHeight="1">
      <c r="F574" s="51"/>
      <c r="G574" s="51"/>
      <c r="H574" s="51"/>
      <c r="I574" s="51"/>
      <c r="J574" s="51"/>
    </row>
    <row r="575" spans="6:10" ht="15.75" customHeight="1">
      <c r="F575" s="51"/>
      <c r="G575" s="51"/>
      <c r="H575" s="51"/>
      <c r="I575" s="51"/>
      <c r="J575" s="51"/>
    </row>
    <row r="576" spans="6:10" ht="15.75" customHeight="1">
      <c r="F576" s="51"/>
      <c r="G576" s="51"/>
      <c r="H576" s="51"/>
      <c r="I576" s="51"/>
      <c r="J576" s="51"/>
    </row>
    <row r="577" spans="6:10" ht="15.75" customHeight="1">
      <c r="F577" s="51"/>
      <c r="G577" s="51"/>
      <c r="H577" s="51"/>
      <c r="I577" s="51"/>
      <c r="J577" s="51"/>
    </row>
    <row r="578" spans="6:10" ht="15.75" customHeight="1">
      <c r="F578" s="51"/>
      <c r="G578" s="51"/>
      <c r="H578" s="51"/>
      <c r="I578" s="51"/>
      <c r="J578" s="51"/>
    </row>
    <row r="579" spans="6:10" ht="15.75" customHeight="1">
      <c r="F579" s="51"/>
      <c r="G579" s="51"/>
      <c r="H579" s="51"/>
      <c r="I579" s="51"/>
      <c r="J579" s="51"/>
    </row>
    <row r="580" spans="6:10" ht="15.75" customHeight="1">
      <c r="F580" s="51"/>
      <c r="G580" s="51"/>
      <c r="H580" s="51"/>
      <c r="I580" s="51"/>
      <c r="J580" s="51"/>
    </row>
    <row r="581" spans="6:10" ht="15.75" customHeight="1">
      <c r="F581" s="51"/>
      <c r="G581" s="51"/>
      <c r="H581" s="51"/>
      <c r="I581" s="51"/>
      <c r="J581" s="51"/>
    </row>
    <row r="582" spans="6:10" ht="15.75" customHeight="1">
      <c r="F582" s="51"/>
      <c r="G582" s="51"/>
      <c r="H582" s="51"/>
      <c r="I582" s="51"/>
      <c r="J582" s="51"/>
    </row>
    <row r="583" spans="6:10" ht="15.75" customHeight="1">
      <c r="F583" s="51"/>
      <c r="G583" s="51"/>
      <c r="H583" s="51"/>
      <c r="I583" s="51"/>
      <c r="J583" s="51"/>
    </row>
    <row r="584" spans="6:10" ht="15.75" customHeight="1">
      <c r="F584" s="51"/>
      <c r="G584" s="51"/>
      <c r="H584" s="51"/>
      <c r="I584" s="51"/>
      <c r="J584" s="51"/>
    </row>
    <row r="585" spans="6:10" ht="15.75" customHeight="1">
      <c r="F585" s="51"/>
      <c r="G585" s="51"/>
      <c r="H585" s="51"/>
      <c r="I585" s="51"/>
      <c r="J585" s="51"/>
    </row>
    <row r="586" spans="6:10" ht="15.75" customHeight="1">
      <c r="F586" s="51"/>
      <c r="G586" s="51"/>
      <c r="H586" s="51"/>
      <c r="I586" s="51"/>
      <c r="J586" s="51"/>
    </row>
    <row r="587" spans="6:10" ht="15.75" customHeight="1">
      <c r="F587" s="51"/>
      <c r="G587" s="51"/>
      <c r="H587" s="51"/>
      <c r="I587" s="51"/>
      <c r="J587" s="51"/>
    </row>
    <row r="588" spans="6:10" ht="15.75" customHeight="1">
      <c r="F588" s="51"/>
      <c r="G588" s="51"/>
      <c r="H588" s="51"/>
      <c r="I588" s="51"/>
      <c r="J588" s="51"/>
    </row>
    <row r="589" spans="6:10" ht="15.75" customHeight="1">
      <c r="F589" s="51"/>
      <c r="G589" s="51"/>
      <c r="H589" s="51"/>
      <c r="I589" s="51"/>
      <c r="J589" s="51"/>
    </row>
    <row r="590" spans="6:10" ht="15.75" customHeight="1">
      <c r="F590" s="51"/>
      <c r="G590" s="51"/>
      <c r="H590" s="51"/>
      <c r="I590" s="51"/>
      <c r="J590" s="51"/>
    </row>
    <row r="591" spans="6:10" ht="15.75" customHeight="1">
      <c r="F591" s="51"/>
      <c r="G591" s="51"/>
      <c r="H591" s="51"/>
      <c r="I591" s="51"/>
      <c r="J591" s="51"/>
    </row>
    <row r="592" spans="6:10" ht="15.75" customHeight="1">
      <c r="F592" s="51"/>
      <c r="G592" s="51"/>
      <c r="H592" s="51"/>
      <c r="I592" s="51"/>
      <c r="J592" s="51"/>
    </row>
    <row r="593" spans="6:10" ht="15.75" customHeight="1">
      <c r="F593" s="51"/>
      <c r="G593" s="51"/>
      <c r="H593" s="51"/>
      <c r="I593" s="51"/>
      <c r="J593" s="51"/>
    </row>
    <row r="594" spans="6:10" ht="15.75" customHeight="1">
      <c r="F594" s="51"/>
      <c r="G594" s="51"/>
      <c r="H594" s="51"/>
      <c r="I594" s="51"/>
      <c r="J594" s="51"/>
    </row>
    <row r="595" spans="6:10" ht="15.75" customHeight="1">
      <c r="F595" s="51"/>
      <c r="G595" s="51"/>
      <c r="H595" s="51"/>
      <c r="I595" s="51"/>
      <c r="J595" s="51"/>
    </row>
    <row r="596" spans="6:10" ht="15.75" customHeight="1">
      <c r="F596" s="51"/>
      <c r="G596" s="51"/>
      <c r="H596" s="51"/>
      <c r="I596" s="51"/>
      <c r="J596" s="51"/>
    </row>
    <row r="597" spans="6:10" ht="15.75" customHeight="1">
      <c r="F597" s="51"/>
      <c r="G597" s="51"/>
      <c r="H597" s="51"/>
      <c r="I597" s="51"/>
      <c r="J597" s="51"/>
    </row>
    <row r="598" spans="6:10" ht="15.75" customHeight="1">
      <c r="F598" s="51"/>
      <c r="G598" s="51"/>
      <c r="H598" s="51"/>
      <c r="I598" s="51"/>
      <c r="J598" s="51"/>
    </row>
    <row r="599" spans="6:10" ht="15.75" customHeight="1">
      <c r="F599" s="51"/>
      <c r="G599" s="51"/>
      <c r="H599" s="51"/>
      <c r="I599" s="51"/>
      <c r="J599" s="51"/>
    </row>
    <row r="600" spans="6:10" ht="15.75" customHeight="1">
      <c r="F600" s="51"/>
      <c r="G600" s="51"/>
      <c r="H600" s="51"/>
      <c r="I600" s="51"/>
      <c r="J600" s="51"/>
    </row>
    <row r="601" spans="6:10" ht="15.75" customHeight="1">
      <c r="F601" s="51"/>
      <c r="G601" s="51"/>
      <c r="H601" s="51"/>
      <c r="I601" s="51"/>
      <c r="J601" s="51"/>
    </row>
    <row r="602" spans="6:10" ht="15.75" customHeight="1">
      <c r="F602" s="51"/>
      <c r="G602" s="51"/>
      <c r="H602" s="51"/>
      <c r="I602" s="51"/>
      <c r="J602" s="51"/>
    </row>
    <row r="603" spans="6:10" ht="15.75" customHeight="1">
      <c r="F603" s="51"/>
      <c r="G603" s="51"/>
      <c r="H603" s="51"/>
      <c r="I603" s="51"/>
      <c r="J603" s="51"/>
    </row>
    <row r="604" spans="6:10" ht="15.75" customHeight="1">
      <c r="F604" s="51"/>
      <c r="G604" s="51"/>
      <c r="H604" s="51"/>
      <c r="I604" s="51"/>
      <c r="J604" s="51"/>
    </row>
    <row r="605" spans="6:10" ht="15.75" customHeight="1">
      <c r="F605" s="51"/>
      <c r="G605" s="51"/>
      <c r="H605" s="51"/>
      <c r="I605" s="51"/>
      <c r="J605" s="51"/>
    </row>
    <row r="606" spans="6:10" ht="15.75" customHeight="1">
      <c r="F606" s="51"/>
      <c r="G606" s="51"/>
      <c r="H606" s="51"/>
      <c r="I606" s="51"/>
      <c r="J606" s="51"/>
    </row>
    <row r="607" spans="6:10" ht="15.75" customHeight="1">
      <c r="F607" s="51"/>
      <c r="G607" s="51"/>
      <c r="H607" s="51"/>
      <c r="I607" s="51"/>
      <c r="J607" s="51"/>
    </row>
    <row r="608" spans="6:10" ht="15.75" customHeight="1">
      <c r="F608" s="51"/>
      <c r="G608" s="51"/>
      <c r="H608" s="51"/>
      <c r="I608" s="51"/>
      <c r="J608" s="51"/>
    </row>
    <row r="609" spans="6:10" ht="15.75" customHeight="1">
      <c r="F609" s="51"/>
      <c r="G609" s="51"/>
      <c r="H609" s="51"/>
      <c r="I609" s="51"/>
      <c r="J609" s="51"/>
    </row>
    <row r="610" spans="6:10" ht="15.75" customHeight="1">
      <c r="F610" s="51"/>
      <c r="G610" s="51"/>
      <c r="H610" s="51"/>
      <c r="I610" s="51"/>
      <c r="J610" s="51"/>
    </row>
    <row r="611" spans="6:10" ht="15.75" customHeight="1">
      <c r="F611" s="51"/>
      <c r="G611" s="51"/>
      <c r="H611" s="51"/>
      <c r="I611" s="51"/>
      <c r="J611" s="51"/>
    </row>
    <row r="612" spans="6:10" ht="15.75" customHeight="1">
      <c r="F612" s="51"/>
      <c r="G612" s="51"/>
      <c r="H612" s="51"/>
      <c r="I612" s="51"/>
      <c r="J612" s="51"/>
    </row>
    <row r="613" spans="6:10" ht="15.75" customHeight="1">
      <c r="F613" s="51"/>
      <c r="G613" s="51"/>
      <c r="H613" s="51"/>
      <c r="I613" s="51"/>
      <c r="J613" s="51"/>
    </row>
    <row r="614" spans="6:10" ht="15.75" customHeight="1">
      <c r="F614" s="51"/>
      <c r="G614" s="51"/>
      <c r="H614" s="51"/>
      <c r="I614" s="51"/>
      <c r="J614" s="51"/>
    </row>
    <row r="615" spans="6:10" ht="15.75" customHeight="1">
      <c r="F615" s="51"/>
      <c r="G615" s="51"/>
      <c r="H615" s="51"/>
      <c r="I615" s="51"/>
      <c r="J615" s="51"/>
    </row>
    <row r="616" spans="6:10" ht="15.75" customHeight="1">
      <c r="F616" s="51"/>
      <c r="G616" s="51"/>
      <c r="H616" s="51"/>
      <c r="I616" s="51"/>
      <c r="J616" s="51"/>
    </row>
    <row r="617" spans="6:10" ht="15.75" customHeight="1">
      <c r="F617" s="51"/>
      <c r="G617" s="51"/>
      <c r="H617" s="51"/>
      <c r="I617" s="51"/>
      <c r="J617" s="51"/>
    </row>
    <row r="618" spans="6:10" ht="15.75" customHeight="1">
      <c r="F618" s="51"/>
      <c r="G618" s="51"/>
      <c r="H618" s="51"/>
      <c r="I618" s="51"/>
      <c r="J618" s="51"/>
    </row>
    <row r="619" spans="6:10" ht="15.75" customHeight="1">
      <c r="F619" s="51"/>
      <c r="G619" s="51"/>
      <c r="H619" s="51"/>
      <c r="I619" s="51"/>
      <c r="J619" s="51"/>
    </row>
    <row r="620" spans="6:10" ht="15.75" customHeight="1">
      <c r="F620" s="51"/>
      <c r="G620" s="51"/>
      <c r="H620" s="51"/>
      <c r="I620" s="51"/>
      <c r="J620" s="51"/>
    </row>
    <row r="621" spans="6:10" ht="15.75" customHeight="1">
      <c r="F621" s="51"/>
      <c r="G621" s="51"/>
      <c r="H621" s="51"/>
      <c r="I621" s="51"/>
      <c r="J621" s="51"/>
    </row>
    <row r="622" spans="6:10" ht="15.75" customHeight="1">
      <c r="F622" s="51"/>
      <c r="G622" s="51"/>
      <c r="H622" s="51"/>
      <c r="I622" s="51"/>
      <c r="J622" s="51"/>
    </row>
    <row r="623" spans="6:10" ht="15.75" customHeight="1">
      <c r="F623" s="51"/>
      <c r="G623" s="51"/>
      <c r="H623" s="51"/>
      <c r="I623" s="51"/>
      <c r="J623" s="51"/>
    </row>
    <row r="624" spans="6:10" ht="15.75" customHeight="1">
      <c r="F624" s="51"/>
      <c r="G624" s="51"/>
      <c r="H624" s="51"/>
      <c r="I624" s="51"/>
      <c r="J624" s="51"/>
    </row>
    <row r="625" spans="6:10" ht="15.75" customHeight="1">
      <c r="F625" s="51"/>
      <c r="G625" s="51"/>
      <c r="H625" s="51"/>
      <c r="I625" s="51"/>
      <c r="J625" s="51"/>
    </row>
    <row r="626" spans="6:10" ht="15.75" customHeight="1">
      <c r="F626" s="51"/>
      <c r="G626" s="51"/>
      <c r="H626" s="51"/>
      <c r="I626" s="51"/>
      <c r="J626" s="51"/>
    </row>
    <row r="627" spans="6:10" ht="15.75" customHeight="1">
      <c r="F627" s="51"/>
      <c r="G627" s="51"/>
      <c r="H627" s="51"/>
      <c r="I627" s="51"/>
      <c r="J627" s="51"/>
    </row>
    <row r="628" spans="6:10" ht="15.75" customHeight="1">
      <c r="F628" s="51"/>
      <c r="G628" s="51"/>
      <c r="H628" s="51"/>
      <c r="I628" s="51"/>
      <c r="J628" s="51"/>
    </row>
    <row r="629" spans="6:10" ht="15.75" customHeight="1">
      <c r="F629" s="51"/>
      <c r="G629" s="51"/>
      <c r="H629" s="51"/>
      <c r="I629" s="51"/>
      <c r="J629" s="51"/>
    </row>
    <row r="630" spans="6:10" ht="15.75" customHeight="1">
      <c r="F630" s="51"/>
      <c r="G630" s="51"/>
      <c r="H630" s="51"/>
      <c r="I630" s="51"/>
      <c r="J630" s="51"/>
    </row>
    <row r="631" spans="6:10" ht="15.75" customHeight="1">
      <c r="F631" s="51"/>
      <c r="G631" s="51"/>
      <c r="H631" s="51"/>
      <c r="I631" s="51"/>
      <c r="J631" s="51"/>
    </row>
    <row r="632" spans="6:10" ht="15.75" customHeight="1">
      <c r="F632" s="51"/>
      <c r="G632" s="51"/>
      <c r="H632" s="51"/>
      <c r="I632" s="51"/>
      <c r="J632" s="51"/>
    </row>
    <row r="633" spans="6:10" ht="15.75" customHeight="1">
      <c r="F633" s="51"/>
      <c r="G633" s="51"/>
      <c r="H633" s="51"/>
      <c r="I633" s="51"/>
      <c r="J633" s="51"/>
    </row>
    <row r="634" spans="6:10" ht="15.75" customHeight="1">
      <c r="F634" s="51"/>
      <c r="G634" s="51"/>
      <c r="H634" s="51"/>
      <c r="I634" s="51"/>
      <c r="J634" s="51"/>
    </row>
    <row r="635" spans="6:10" ht="15.75" customHeight="1">
      <c r="F635" s="51"/>
      <c r="G635" s="51"/>
      <c r="H635" s="51"/>
      <c r="I635" s="51"/>
      <c r="J635" s="51"/>
    </row>
    <row r="636" spans="6:10" ht="15.75" customHeight="1">
      <c r="F636" s="51"/>
      <c r="G636" s="51"/>
      <c r="H636" s="51"/>
      <c r="I636" s="51"/>
      <c r="J636" s="51"/>
    </row>
    <row r="637" spans="6:10" ht="15.75" customHeight="1">
      <c r="F637" s="51"/>
      <c r="G637" s="51"/>
      <c r="H637" s="51"/>
      <c r="I637" s="51"/>
      <c r="J637" s="51"/>
    </row>
    <row r="638" spans="6:10" ht="15.75" customHeight="1">
      <c r="F638" s="51"/>
      <c r="G638" s="51"/>
      <c r="H638" s="51"/>
      <c r="I638" s="51"/>
      <c r="J638" s="51"/>
    </row>
    <row r="639" spans="6:10" ht="15.75" customHeight="1">
      <c r="F639" s="51"/>
      <c r="G639" s="51"/>
      <c r="H639" s="51"/>
      <c r="I639" s="51"/>
      <c r="J639" s="51"/>
    </row>
    <row r="640" spans="6:10" ht="15.75" customHeight="1">
      <c r="F640" s="51"/>
      <c r="G640" s="51"/>
      <c r="H640" s="51"/>
      <c r="I640" s="51"/>
      <c r="J640" s="51"/>
    </row>
    <row r="641" spans="6:10" ht="15.75" customHeight="1">
      <c r="F641" s="51"/>
      <c r="G641" s="51"/>
      <c r="H641" s="51"/>
      <c r="I641" s="51"/>
      <c r="J641" s="51"/>
    </row>
    <row r="642" spans="6:10" ht="15.75" customHeight="1">
      <c r="F642" s="51"/>
      <c r="G642" s="51"/>
      <c r="H642" s="51"/>
      <c r="I642" s="51"/>
      <c r="J642" s="51"/>
    </row>
    <row r="643" spans="6:10" ht="15.75" customHeight="1">
      <c r="F643" s="51"/>
      <c r="G643" s="51"/>
      <c r="H643" s="51"/>
      <c r="I643" s="51"/>
      <c r="J643" s="51"/>
    </row>
    <row r="644" spans="6:10" ht="15.75" customHeight="1">
      <c r="F644" s="51"/>
      <c r="G644" s="51"/>
      <c r="H644" s="51"/>
      <c r="I644" s="51"/>
      <c r="J644" s="51"/>
    </row>
    <row r="645" spans="6:10" ht="15.75" customHeight="1">
      <c r="F645" s="51"/>
      <c r="G645" s="51"/>
      <c r="H645" s="51"/>
      <c r="I645" s="51"/>
      <c r="J645" s="51"/>
    </row>
    <row r="646" spans="6:10" ht="15.75" customHeight="1">
      <c r="F646" s="51"/>
      <c r="G646" s="51"/>
      <c r="H646" s="51"/>
      <c r="I646" s="51"/>
      <c r="J646" s="51"/>
    </row>
    <row r="647" spans="6:10" ht="15.75" customHeight="1">
      <c r="F647" s="51"/>
      <c r="G647" s="51"/>
      <c r="H647" s="51"/>
      <c r="I647" s="51"/>
      <c r="J647" s="51"/>
    </row>
    <row r="648" spans="6:10" ht="15.75" customHeight="1">
      <c r="F648" s="51"/>
      <c r="G648" s="51"/>
      <c r="H648" s="51"/>
      <c r="I648" s="51"/>
      <c r="J648" s="51"/>
    </row>
    <row r="649" spans="6:10" ht="15.75" customHeight="1">
      <c r="F649" s="51"/>
      <c r="G649" s="51"/>
      <c r="H649" s="51"/>
      <c r="I649" s="51"/>
      <c r="J649" s="51"/>
    </row>
    <row r="650" spans="6:10" ht="15.75" customHeight="1">
      <c r="F650" s="51"/>
      <c r="G650" s="51"/>
      <c r="H650" s="51"/>
      <c r="I650" s="51"/>
      <c r="J650" s="51"/>
    </row>
    <row r="651" spans="6:10" ht="15.75" customHeight="1">
      <c r="F651" s="51"/>
      <c r="G651" s="51"/>
      <c r="H651" s="51"/>
      <c r="I651" s="51"/>
      <c r="J651" s="51"/>
    </row>
    <row r="652" spans="6:10" ht="15.75" customHeight="1">
      <c r="F652" s="51"/>
      <c r="G652" s="51"/>
      <c r="H652" s="51"/>
      <c r="I652" s="51"/>
      <c r="J652" s="51"/>
    </row>
    <row r="653" spans="6:10" ht="15.75" customHeight="1">
      <c r="F653" s="51"/>
      <c r="G653" s="51"/>
      <c r="H653" s="51"/>
      <c r="I653" s="51"/>
      <c r="J653" s="51"/>
    </row>
    <row r="654" spans="6:10" ht="15.75" customHeight="1">
      <c r="F654" s="51"/>
      <c r="G654" s="51"/>
      <c r="H654" s="51"/>
      <c r="I654" s="51"/>
      <c r="J654" s="51"/>
    </row>
    <row r="655" spans="6:10" ht="15.75" customHeight="1">
      <c r="F655" s="51"/>
      <c r="G655" s="51"/>
      <c r="H655" s="51"/>
      <c r="I655" s="51"/>
      <c r="J655" s="51"/>
    </row>
    <row r="656" spans="6:10" ht="15.75" customHeight="1">
      <c r="F656" s="51"/>
      <c r="G656" s="51"/>
      <c r="H656" s="51"/>
      <c r="I656" s="51"/>
      <c r="J656" s="51"/>
    </row>
    <row r="657" spans="6:10" ht="15.75" customHeight="1">
      <c r="F657" s="51"/>
      <c r="G657" s="51"/>
      <c r="H657" s="51"/>
      <c r="I657" s="51"/>
      <c r="J657" s="51"/>
    </row>
    <row r="658" spans="6:10" ht="15.75" customHeight="1">
      <c r="F658" s="51"/>
      <c r="G658" s="51"/>
      <c r="H658" s="51"/>
      <c r="I658" s="51"/>
      <c r="J658" s="51"/>
    </row>
    <row r="659" spans="6:10" ht="15.75" customHeight="1">
      <c r="F659" s="51"/>
      <c r="G659" s="51"/>
      <c r="H659" s="51"/>
      <c r="I659" s="51"/>
      <c r="J659" s="51"/>
    </row>
    <row r="660" spans="6:10" ht="15.75" customHeight="1">
      <c r="F660" s="51"/>
      <c r="G660" s="51"/>
      <c r="H660" s="51"/>
      <c r="I660" s="51"/>
      <c r="J660" s="51"/>
    </row>
    <row r="661" spans="6:10" ht="15.75" customHeight="1">
      <c r="F661" s="51"/>
      <c r="G661" s="51"/>
      <c r="H661" s="51"/>
      <c r="I661" s="51"/>
      <c r="J661" s="51"/>
    </row>
    <row r="662" spans="6:10" ht="15.75" customHeight="1">
      <c r="F662" s="51"/>
      <c r="G662" s="51"/>
      <c r="H662" s="51"/>
      <c r="I662" s="51"/>
      <c r="J662" s="51"/>
    </row>
    <row r="663" spans="6:10" ht="15.75" customHeight="1">
      <c r="F663" s="51"/>
      <c r="G663" s="51"/>
      <c r="H663" s="51"/>
      <c r="I663" s="51"/>
      <c r="J663" s="51"/>
    </row>
    <row r="664" spans="6:10" ht="15.75" customHeight="1">
      <c r="F664" s="51"/>
      <c r="G664" s="51"/>
      <c r="H664" s="51"/>
      <c r="I664" s="51"/>
      <c r="J664" s="51"/>
    </row>
    <row r="665" spans="6:10" ht="15.75" customHeight="1">
      <c r="F665" s="51"/>
      <c r="G665" s="51"/>
      <c r="H665" s="51"/>
      <c r="I665" s="51"/>
      <c r="J665" s="51"/>
    </row>
    <row r="666" spans="6:10" ht="15.75" customHeight="1">
      <c r="F666" s="51"/>
      <c r="G666" s="51"/>
      <c r="H666" s="51"/>
      <c r="I666" s="51"/>
      <c r="J666" s="51"/>
    </row>
    <row r="667" spans="6:10" ht="15.75" customHeight="1">
      <c r="F667" s="51"/>
      <c r="G667" s="51"/>
      <c r="H667" s="51"/>
      <c r="I667" s="51"/>
      <c r="J667" s="51"/>
    </row>
    <row r="668" spans="6:10" ht="15.75" customHeight="1">
      <c r="F668" s="51"/>
      <c r="G668" s="51"/>
      <c r="H668" s="51"/>
      <c r="I668" s="51"/>
      <c r="J668" s="51"/>
    </row>
    <row r="669" spans="6:10" ht="15.75" customHeight="1">
      <c r="F669" s="51"/>
      <c r="G669" s="51"/>
      <c r="H669" s="51"/>
      <c r="I669" s="51"/>
      <c r="J669" s="51"/>
    </row>
    <row r="670" spans="6:10" ht="15.75" customHeight="1">
      <c r="F670" s="51"/>
      <c r="G670" s="51"/>
      <c r="H670" s="51"/>
      <c r="I670" s="51"/>
      <c r="J670" s="51"/>
    </row>
    <row r="671" spans="6:10" ht="15.75" customHeight="1">
      <c r="F671" s="51"/>
      <c r="G671" s="51"/>
      <c r="H671" s="51"/>
      <c r="I671" s="51"/>
      <c r="J671" s="51"/>
    </row>
    <row r="672" spans="6:10" ht="15.75" customHeight="1">
      <c r="F672" s="51"/>
      <c r="G672" s="51"/>
      <c r="H672" s="51"/>
      <c r="I672" s="51"/>
      <c r="J672" s="51"/>
    </row>
    <row r="673" spans="6:10" ht="15.75" customHeight="1">
      <c r="F673" s="51"/>
      <c r="G673" s="51"/>
      <c r="H673" s="51"/>
      <c r="I673" s="51"/>
      <c r="J673" s="51"/>
    </row>
    <row r="674" spans="6:10" ht="15.75" customHeight="1">
      <c r="F674" s="51"/>
      <c r="G674" s="51"/>
      <c r="H674" s="51"/>
      <c r="I674" s="51"/>
      <c r="J674" s="51"/>
    </row>
    <row r="675" spans="6:10" ht="15.75" customHeight="1">
      <c r="F675" s="51"/>
      <c r="G675" s="51"/>
      <c r="H675" s="51"/>
      <c r="I675" s="51"/>
      <c r="J675" s="51"/>
    </row>
    <row r="676" spans="6:10" ht="15.75" customHeight="1">
      <c r="F676" s="51"/>
      <c r="G676" s="51"/>
      <c r="H676" s="51"/>
      <c r="I676" s="51"/>
      <c r="J676" s="51"/>
    </row>
    <row r="677" spans="6:10" ht="15.75" customHeight="1">
      <c r="F677" s="51"/>
      <c r="G677" s="51"/>
      <c r="H677" s="51"/>
      <c r="I677" s="51"/>
      <c r="J677" s="51"/>
    </row>
    <row r="678" spans="6:10" ht="15.75" customHeight="1">
      <c r="F678" s="51"/>
      <c r="G678" s="51"/>
      <c r="H678" s="51"/>
      <c r="I678" s="51"/>
      <c r="J678" s="51"/>
    </row>
    <row r="679" spans="6:10" ht="15.75" customHeight="1">
      <c r="F679" s="51"/>
      <c r="G679" s="51"/>
      <c r="H679" s="51"/>
      <c r="I679" s="51"/>
      <c r="J679" s="51"/>
    </row>
    <row r="680" spans="6:10" ht="15.75" customHeight="1">
      <c r="F680" s="51"/>
      <c r="G680" s="51"/>
      <c r="H680" s="51"/>
      <c r="I680" s="51"/>
      <c r="J680" s="51"/>
    </row>
    <row r="681" spans="6:10" ht="15.75" customHeight="1">
      <c r="F681" s="51"/>
      <c r="G681" s="51"/>
      <c r="H681" s="51"/>
      <c r="I681" s="51"/>
      <c r="J681" s="51"/>
    </row>
    <row r="682" spans="6:10" ht="15.75" customHeight="1">
      <c r="F682" s="51"/>
      <c r="G682" s="51"/>
      <c r="H682" s="51"/>
      <c r="I682" s="51"/>
      <c r="J682" s="51"/>
    </row>
    <row r="683" spans="6:10" ht="15.75" customHeight="1">
      <c r="F683" s="51"/>
      <c r="G683" s="51"/>
      <c r="H683" s="51"/>
      <c r="I683" s="51"/>
      <c r="J683" s="51"/>
    </row>
    <row r="684" spans="6:10" ht="15.75" customHeight="1">
      <c r="F684" s="51"/>
      <c r="G684" s="51"/>
      <c r="H684" s="51"/>
      <c r="I684" s="51"/>
      <c r="J684" s="51"/>
    </row>
    <row r="685" spans="6:10" ht="15.75" customHeight="1">
      <c r="F685" s="51"/>
      <c r="G685" s="51"/>
      <c r="H685" s="51"/>
      <c r="I685" s="51"/>
      <c r="J685" s="51"/>
    </row>
    <row r="686" spans="6:10" ht="15.75" customHeight="1">
      <c r="F686" s="51"/>
      <c r="G686" s="51"/>
      <c r="H686" s="51"/>
      <c r="I686" s="51"/>
      <c r="J686" s="51"/>
    </row>
    <row r="687" spans="6:10" ht="15.75" customHeight="1">
      <c r="F687" s="51"/>
      <c r="G687" s="51"/>
      <c r="H687" s="51"/>
      <c r="I687" s="51"/>
      <c r="J687" s="51"/>
    </row>
    <row r="688" spans="6:10" ht="15.75" customHeight="1">
      <c r="F688" s="51"/>
      <c r="G688" s="51"/>
      <c r="H688" s="51"/>
      <c r="I688" s="51"/>
      <c r="J688" s="51"/>
    </row>
    <row r="689" spans="6:10" ht="15.75" customHeight="1">
      <c r="F689" s="51"/>
      <c r="G689" s="51"/>
      <c r="H689" s="51"/>
      <c r="I689" s="51"/>
      <c r="J689" s="51"/>
    </row>
    <row r="690" spans="6:10" ht="15.75" customHeight="1">
      <c r="F690" s="51"/>
      <c r="G690" s="51"/>
      <c r="H690" s="51"/>
      <c r="I690" s="51"/>
      <c r="J690" s="51"/>
    </row>
    <row r="691" spans="6:10" ht="15.75" customHeight="1">
      <c r="F691" s="51"/>
      <c r="G691" s="51"/>
      <c r="H691" s="51"/>
      <c r="I691" s="51"/>
      <c r="J691" s="51"/>
    </row>
    <row r="692" spans="6:10" ht="15.75" customHeight="1">
      <c r="F692" s="51"/>
      <c r="G692" s="51"/>
      <c r="H692" s="51"/>
      <c r="I692" s="51"/>
      <c r="J692" s="51"/>
    </row>
    <row r="693" spans="6:10" ht="15.75" customHeight="1">
      <c r="F693" s="51"/>
      <c r="G693" s="51"/>
      <c r="H693" s="51"/>
      <c r="I693" s="51"/>
      <c r="J693" s="51"/>
    </row>
    <row r="694" spans="6:10" ht="15.75" customHeight="1">
      <c r="F694" s="51"/>
      <c r="G694" s="51"/>
      <c r="H694" s="51"/>
      <c r="I694" s="51"/>
      <c r="J694" s="51"/>
    </row>
    <row r="695" spans="6:10" ht="15.75" customHeight="1">
      <c r="F695" s="51"/>
      <c r="G695" s="51"/>
      <c r="H695" s="51"/>
      <c r="I695" s="51"/>
      <c r="J695" s="51"/>
    </row>
    <row r="696" spans="6:10" ht="15.75" customHeight="1">
      <c r="F696" s="51"/>
      <c r="G696" s="51"/>
      <c r="H696" s="51"/>
      <c r="I696" s="51"/>
      <c r="J696" s="51"/>
    </row>
    <row r="697" spans="6:10" ht="15.75" customHeight="1">
      <c r="F697" s="51"/>
      <c r="G697" s="51"/>
      <c r="H697" s="51"/>
      <c r="I697" s="51"/>
      <c r="J697" s="51"/>
    </row>
    <row r="698" spans="6:10" ht="15.75" customHeight="1">
      <c r="F698" s="51"/>
      <c r="G698" s="51"/>
      <c r="H698" s="51"/>
      <c r="I698" s="51"/>
      <c r="J698" s="51"/>
    </row>
    <row r="699" spans="6:10" ht="15.75" customHeight="1">
      <c r="F699" s="51"/>
      <c r="G699" s="51"/>
      <c r="H699" s="51"/>
      <c r="I699" s="51"/>
      <c r="J699" s="51"/>
    </row>
    <row r="700" spans="6:10" ht="15.75" customHeight="1">
      <c r="F700" s="51"/>
      <c r="G700" s="51"/>
      <c r="H700" s="51"/>
      <c r="I700" s="51"/>
      <c r="J700" s="51"/>
    </row>
    <row r="701" spans="6:10" ht="15.75" customHeight="1">
      <c r="F701" s="51"/>
      <c r="G701" s="51"/>
      <c r="H701" s="51"/>
      <c r="I701" s="51"/>
      <c r="J701" s="51"/>
    </row>
    <row r="702" spans="6:10" ht="15.75" customHeight="1">
      <c r="F702" s="51"/>
      <c r="G702" s="51"/>
      <c r="H702" s="51"/>
      <c r="I702" s="51"/>
      <c r="J702" s="51"/>
    </row>
    <row r="703" spans="6:10" ht="15.75" customHeight="1">
      <c r="F703" s="51"/>
      <c r="G703" s="51"/>
      <c r="H703" s="51"/>
      <c r="I703" s="51"/>
      <c r="J703" s="51"/>
    </row>
    <row r="704" spans="6:10" ht="15.75" customHeight="1">
      <c r="F704" s="51"/>
      <c r="G704" s="51"/>
      <c r="H704" s="51"/>
      <c r="I704" s="51"/>
      <c r="J704" s="51"/>
    </row>
    <row r="705" spans="6:10" ht="15.75" customHeight="1">
      <c r="F705" s="51"/>
      <c r="G705" s="51"/>
      <c r="H705" s="51"/>
      <c r="I705" s="51"/>
      <c r="J705" s="51"/>
    </row>
    <row r="706" spans="6:10" ht="15.75" customHeight="1">
      <c r="F706" s="51"/>
      <c r="G706" s="51"/>
      <c r="H706" s="51"/>
      <c r="I706" s="51"/>
      <c r="J706" s="51"/>
    </row>
    <row r="707" spans="6:10" ht="15.75" customHeight="1">
      <c r="F707" s="51"/>
      <c r="G707" s="51"/>
      <c r="H707" s="51"/>
      <c r="I707" s="51"/>
      <c r="J707" s="51"/>
    </row>
    <row r="708" spans="6:10" ht="15.75" customHeight="1">
      <c r="F708" s="51"/>
      <c r="G708" s="51"/>
      <c r="H708" s="51"/>
      <c r="I708" s="51"/>
      <c r="J708" s="51"/>
    </row>
    <row r="709" spans="6:10" ht="15.75" customHeight="1">
      <c r="F709" s="51"/>
      <c r="G709" s="51"/>
      <c r="H709" s="51"/>
      <c r="I709" s="51"/>
      <c r="J709" s="51"/>
    </row>
    <row r="710" spans="6:10" ht="15.75" customHeight="1">
      <c r="F710" s="51"/>
      <c r="G710" s="51"/>
      <c r="H710" s="51"/>
      <c r="I710" s="51"/>
      <c r="J710" s="51"/>
    </row>
    <row r="711" spans="6:10" ht="15.75" customHeight="1">
      <c r="F711" s="51"/>
      <c r="G711" s="51"/>
      <c r="H711" s="51"/>
      <c r="I711" s="51"/>
      <c r="J711" s="51"/>
    </row>
    <row r="712" spans="6:10" ht="15.75" customHeight="1">
      <c r="F712" s="51"/>
      <c r="G712" s="51"/>
      <c r="H712" s="51"/>
      <c r="I712" s="51"/>
      <c r="J712" s="51"/>
    </row>
    <row r="713" spans="6:10" ht="15.75" customHeight="1">
      <c r="F713" s="51"/>
      <c r="G713" s="51"/>
      <c r="H713" s="51"/>
      <c r="I713" s="51"/>
      <c r="J713" s="51"/>
    </row>
    <row r="714" spans="6:10" ht="15.75" customHeight="1">
      <c r="F714" s="51"/>
      <c r="G714" s="51"/>
      <c r="H714" s="51"/>
      <c r="I714" s="51"/>
      <c r="J714" s="51"/>
    </row>
    <row r="715" spans="6:10" ht="15.75" customHeight="1">
      <c r="F715" s="51"/>
      <c r="G715" s="51"/>
      <c r="H715" s="51"/>
      <c r="I715" s="51"/>
      <c r="J715" s="51"/>
    </row>
    <row r="716" spans="6:10" ht="15.75" customHeight="1">
      <c r="F716" s="51"/>
      <c r="G716" s="51"/>
      <c r="H716" s="51"/>
      <c r="I716" s="51"/>
      <c r="J716" s="51"/>
    </row>
    <row r="717" spans="6:10" ht="15.75" customHeight="1">
      <c r="F717" s="51"/>
      <c r="G717" s="51"/>
      <c r="H717" s="51"/>
      <c r="I717" s="51"/>
      <c r="J717" s="51"/>
    </row>
    <row r="718" spans="6:10" ht="15.75" customHeight="1">
      <c r="F718" s="51"/>
      <c r="G718" s="51"/>
      <c r="H718" s="51"/>
      <c r="I718" s="51"/>
      <c r="J718" s="51"/>
    </row>
    <row r="719" spans="6:10" ht="15.75" customHeight="1">
      <c r="F719" s="51"/>
      <c r="G719" s="51"/>
      <c r="H719" s="51"/>
      <c r="I719" s="51"/>
      <c r="J719" s="51"/>
    </row>
    <row r="720" spans="6:10" ht="15.75" customHeight="1">
      <c r="F720" s="51"/>
      <c r="G720" s="51"/>
      <c r="H720" s="51"/>
      <c r="I720" s="51"/>
      <c r="J720" s="51"/>
    </row>
    <row r="721" spans="6:10" ht="15.75" customHeight="1">
      <c r="F721" s="51"/>
      <c r="G721" s="51"/>
      <c r="H721" s="51"/>
      <c r="I721" s="51"/>
      <c r="J721" s="51"/>
    </row>
    <row r="722" spans="6:10" ht="15.75" customHeight="1">
      <c r="F722" s="51"/>
      <c r="G722" s="51"/>
      <c r="H722" s="51"/>
      <c r="I722" s="51"/>
      <c r="J722" s="51"/>
    </row>
    <row r="723" spans="6:10" ht="15.75" customHeight="1">
      <c r="F723" s="51"/>
      <c r="G723" s="51"/>
      <c r="H723" s="51"/>
      <c r="I723" s="51"/>
      <c r="J723" s="51"/>
    </row>
    <row r="724" spans="6:10" ht="15.75" customHeight="1">
      <c r="F724" s="51"/>
      <c r="G724" s="51"/>
      <c r="H724" s="51"/>
      <c r="I724" s="51"/>
      <c r="J724" s="51"/>
    </row>
    <row r="725" spans="6:10" ht="15.75" customHeight="1">
      <c r="F725" s="51"/>
      <c r="G725" s="51"/>
      <c r="H725" s="51"/>
      <c r="I725" s="51"/>
      <c r="J725" s="51"/>
    </row>
    <row r="726" spans="6:10" ht="15.75" customHeight="1">
      <c r="F726" s="51"/>
      <c r="G726" s="51"/>
      <c r="H726" s="51"/>
      <c r="I726" s="51"/>
      <c r="J726" s="51"/>
    </row>
    <row r="727" spans="6:10" ht="15.75" customHeight="1">
      <c r="F727" s="51"/>
      <c r="G727" s="51"/>
      <c r="H727" s="51"/>
      <c r="I727" s="51"/>
      <c r="J727" s="51"/>
    </row>
    <row r="728" spans="6:10" ht="15.75" customHeight="1">
      <c r="F728" s="51"/>
      <c r="G728" s="51"/>
      <c r="H728" s="51"/>
      <c r="I728" s="51"/>
      <c r="J728" s="51"/>
    </row>
    <row r="729" spans="6:10" ht="15.75" customHeight="1">
      <c r="F729" s="51"/>
      <c r="G729" s="51"/>
      <c r="H729" s="51"/>
      <c r="I729" s="51"/>
      <c r="J729" s="51"/>
    </row>
    <row r="730" spans="6:10" ht="15.75" customHeight="1">
      <c r="F730" s="51"/>
      <c r="G730" s="51"/>
      <c r="H730" s="51"/>
      <c r="I730" s="51"/>
      <c r="J730" s="51"/>
    </row>
    <row r="731" spans="6:10" ht="15.75" customHeight="1">
      <c r="F731" s="51"/>
      <c r="G731" s="51"/>
      <c r="H731" s="51"/>
      <c r="I731" s="51"/>
      <c r="J731" s="51"/>
    </row>
    <row r="732" spans="6:10" ht="15.75" customHeight="1">
      <c r="F732" s="51"/>
      <c r="G732" s="51"/>
      <c r="H732" s="51"/>
      <c r="I732" s="51"/>
      <c r="J732" s="51"/>
    </row>
    <row r="733" spans="6:10" ht="15.75" customHeight="1">
      <c r="F733" s="51"/>
      <c r="G733" s="51"/>
      <c r="H733" s="51"/>
      <c r="I733" s="51"/>
      <c r="J733" s="51"/>
    </row>
    <row r="734" spans="6:10" ht="15.75" customHeight="1">
      <c r="F734" s="51"/>
      <c r="G734" s="51"/>
      <c r="H734" s="51"/>
      <c r="I734" s="51"/>
      <c r="J734" s="51"/>
    </row>
    <row r="735" spans="6:10" ht="15.75" customHeight="1">
      <c r="F735" s="51"/>
      <c r="G735" s="51"/>
      <c r="H735" s="51"/>
      <c r="I735" s="51"/>
      <c r="J735" s="51"/>
    </row>
    <row r="736" spans="6:10" ht="15.75" customHeight="1">
      <c r="F736" s="51"/>
      <c r="G736" s="51"/>
      <c r="H736" s="51"/>
      <c r="I736" s="51"/>
      <c r="J736" s="51"/>
    </row>
    <row r="737" spans="6:10" ht="15.75" customHeight="1">
      <c r="F737" s="51"/>
      <c r="G737" s="51"/>
      <c r="H737" s="51"/>
      <c r="I737" s="51"/>
      <c r="J737" s="51"/>
    </row>
    <row r="738" spans="6:10" ht="15.75" customHeight="1">
      <c r="F738" s="51"/>
      <c r="G738" s="51"/>
      <c r="H738" s="51"/>
      <c r="I738" s="51"/>
      <c r="J738" s="51"/>
    </row>
    <row r="739" spans="6:10" ht="15.75" customHeight="1">
      <c r="F739" s="51"/>
      <c r="G739" s="51"/>
      <c r="H739" s="51"/>
      <c r="I739" s="51"/>
      <c r="J739" s="51"/>
    </row>
    <row r="740" spans="6:10" ht="15.75" customHeight="1">
      <c r="F740" s="51"/>
      <c r="G740" s="51"/>
      <c r="H740" s="51"/>
      <c r="I740" s="51"/>
      <c r="J740" s="51"/>
    </row>
    <row r="741" spans="6:10" ht="15.75" customHeight="1">
      <c r="F741" s="51"/>
      <c r="G741" s="51"/>
      <c r="H741" s="51"/>
      <c r="I741" s="51"/>
      <c r="J741" s="51"/>
    </row>
    <row r="742" spans="6:10" ht="15.75" customHeight="1">
      <c r="F742" s="51"/>
      <c r="G742" s="51"/>
      <c r="H742" s="51"/>
      <c r="I742" s="51"/>
      <c r="J742" s="51"/>
    </row>
    <row r="743" spans="6:10" ht="15.75" customHeight="1">
      <c r="F743" s="51"/>
      <c r="G743" s="51"/>
      <c r="H743" s="51"/>
      <c r="I743" s="51"/>
      <c r="J743" s="51"/>
    </row>
    <row r="744" spans="6:10" ht="15.75" customHeight="1">
      <c r="F744" s="51"/>
      <c r="G744" s="51"/>
      <c r="H744" s="51"/>
      <c r="I744" s="51"/>
      <c r="J744" s="51"/>
    </row>
    <row r="745" spans="6:10" ht="15.75" customHeight="1">
      <c r="F745" s="51"/>
      <c r="G745" s="51"/>
      <c r="H745" s="51"/>
      <c r="I745" s="51"/>
      <c r="J745" s="51"/>
    </row>
    <row r="746" spans="6:10" ht="15.75" customHeight="1">
      <c r="F746" s="51"/>
      <c r="G746" s="51"/>
      <c r="H746" s="51"/>
      <c r="I746" s="51"/>
      <c r="J746" s="51"/>
    </row>
    <row r="747" spans="6:10" ht="15.75" customHeight="1">
      <c r="F747" s="51"/>
      <c r="G747" s="51"/>
      <c r="H747" s="51"/>
      <c r="I747" s="51"/>
      <c r="J747" s="51"/>
    </row>
    <row r="748" spans="6:10" ht="15.75" customHeight="1">
      <c r="F748" s="51"/>
      <c r="G748" s="51"/>
      <c r="H748" s="51"/>
      <c r="I748" s="51"/>
      <c r="J748" s="51"/>
    </row>
    <row r="749" spans="6:10" ht="15.75" customHeight="1">
      <c r="F749" s="51"/>
      <c r="G749" s="51"/>
      <c r="H749" s="51"/>
      <c r="I749" s="51"/>
      <c r="J749" s="51"/>
    </row>
    <row r="750" spans="6:10" ht="15.75" customHeight="1">
      <c r="F750" s="51"/>
      <c r="G750" s="51"/>
      <c r="H750" s="51"/>
      <c r="I750" s="51"/>
      <c r="J750" s="51"/>
    </row>
    <row r="751" spans="6:10" ht="15.75" customHeight="1">
      <c r="F751" s="51"/>
      <c r="G751" s="51"/>
      <c r="H751" s="51"/>
      <c r="I751" s="51"/>
      <c r="J751" s="51"/>
    </row>
    <row r="752" spans="6:10" ht="15.75" customHeight="1">
      <c r="F752" s="51"/>
      <c r="G752" s="51"/>
      <c r="H752" s="51"/>
      <c r="I752" s="51"/>
      <c r="J752" s="51"/>
    </row>
    <row r="753" spans="6:10" ht="15.75" customHeight="1">
      <c r="F753" s="51"/>
      <c r="G753" s="51"/>
      <c r="H753" s="51"/>
      <c r="I753" s="51"/>
      <c r="J753" s="51"/>
    </row>
    <row r="754" spans="6:10" ht="15.75" customHeight="1">
      <c r="F754" s="51"/>
      <c r="G754" s="51"/>
      <c r="H754" s="51"/>
      <c r="I754" s="51"/>
      <c r="J754" s="51"/>
    </row>
    <row r="755" spans="6:10" ht="15.75" customHeight="1">
      <c r="F755" s="51"/>
      <c r="G755" s="51"/>
      <c r="H755" s="51"/>
      <c r="I755" s="51"/>
      <c r="J755" s="51"/>
    </row>
    <row r="756" spans="6:10" ht="15.75" customHeight="1">
      <c r="F756" s="51"/>
      <c r="G756" s="51"/>
      <c r="H756" s="51"/>
      <c r="I756" s="51"/>
      <c r="J756" s="51"/>
    </row>
    <row r="757" spans="6:10" ht="15.75" customHeight="1">
      <c r="F757" s="51"/>
      <c r="G757" s="51"/>
      <c r="H757" s="51"/>
      <c r="I757" s="51"/>
      <c r="J757" s="51"/>
    </row>
    <row r="758" spans="6:10" ht="15.75" customHeight="1">
      <c r="F758" s="51"/>
      <c r="G758" s="51"/>
      <c r="H758" s="51"/>
      <c r="I758" s="51"/>
      <c r="J758" s="51"/>
    </row>
    <row r="759" spans="6:10" ht="15.75" customHeight="1">
      <c r="F759" s="51"/>
      <c r="G759" s="51"/>
      <c r="H759" s="51"/>
      <c r="I759" s="51"/>
      <c r="J759" s="51"/>
    </row>
    <row r="760" spans="6:10" ht="15.75" customHeight="1">
      <c r="F760" s="51"/>
      <c r="G760" s="51"/>
      <c r="H760" s="51"/>
      <c r="I760" s="51"/>
      <c r="J760" s="51"/>
    </row>
    <row r="761" spans="6:10" ht="15.75" customHeight="1">
      <c r="F761" s="51"/>
      <c r="G761" s="51"/>
      <c r="H761" s="51"/>
      <c r="I761" s="51"/>
      <c r="J761" s="51"/>
    </row>
    <row r="762" spans="6:10" ht="15.75" customHeight="1">
      <c r="F762" s="51"/>
      <c r="G762" s="51"/>
      <c r="H762" s="51"/>
      <c r="I762" s="51"/>
      <c r="J762" s="51"/>
    </row>
    <row r="763" spans="6:10" ht="15.75" customHeight="1">
      <c r="F763" s="51"/>
      <c r="G763" s="51"/>
      <c r="H763" s="51"/>
      <c r="I763" s="51"/>
      <c r="J763" s="51"/>
    </row>
    <row r="764" spans="6:10" ht="15.75" customHeight="1">
      <c r="F764" s="51"/>
      <c r="G764" s="51"/>
      <c r="H764" s="51"/>
      <c r="I764" s="51"/>
      <c r="J764" s="51"/>
    </row>
    <row r="765" spans="6:10" ht="15.75" customHeight="1">
      <c r="F765" s="51"/>
      <c r="G765" s="51"/>
      <c r="H765" s="51"/>
      <c r="I765" s="51"/>
      <c r="J765" s="51"/>
    </row>
    <row r="766" spans="6:10" ht="15.75" customHeight="1">
      <c r="F766" s="51"/>
      <c r="G766" s="51"/>
      <c r="H766" s="51"/>
      <c r="I766" s="51"/>
      <c r="J766" s="51"/>
    </row>
    <row r="767" spans="6:10" ht="15.75" customHeight="1">
      <c r="F767" s="51"/>
      <c r="G767" s="51"/>
      <c r="H767" s="51"/>
      <c r="I767" s="51"/>
      <c r="J767" s="51"/>
    </row>
    <row r="768" spans="6:10" ht="15.75" customHeight="1">
      <c r="F768" s="51"/>
      <c r="G768" s="51"/>
      <c r="H768" s="51"/>
      <c r="I768" s="51"/>
      <c r="J768" s="51"/>
    </row>
    <row r="769" spans="6:10" ht="15.75" customHeight="1">
      <c r="F769" s="51"/>
      <c r="G769" s="51"/>
      <c r="H769" s="51"/>
      <c r="I769" s="51"/>
      <c r="J769" s="51"/>
    </row>
    <row r="770" spans="6:10" ht="15.75" customHeight="1">
      <c r="F770" s="51"/>
      <c r="G770" s="51"/>
      <c r="H770" s="51"/>
      <c r="I770" s="51"/>
      <c r="J770" s="51"/>
    </row>
    <row r="771" spans="6:10" ht="15.75" customHeight="1">
      <c r="F771" s="51"/>
      <c r="G771" s="51"/>
      <c r="H771" s="51"/>
      <c r="I771" s="51"/>
      <c r="J771" s="51"/>
    </row>
    <row r="772" spans="6:10" ht="15.75" customHeight="1">
      <c r="F772" s="51"/>
      <c r="G772" s="51"/>
      <c r="H772" s="51"/>
      <c r="I772" s="51"/>
      <c r="J772" s="51"/>
    </row>
    <row r="773" spans="6:10" ht="15.75" customHeight="1">
      <c r="F773" s="51"/>
      <c r="G773" s="51"/>
      <c r="H773" s="51"/>
      <c r="I773" s="51"/>
      <c r="J773" s="51"/>
    </row>
    <row r="774" spans="6:10" ht="15.75" customHeight="1">
      <c r="F774" s="51"/>
      <c r="G774" s="51"/>
      <c r="H774" s="51"/>
      <c r="I774" s="51"/>
      <c r="J774" s="51"/>
    </row>
    <row r="775" spans="6:10" ht="15.75" customHeight="1">
      <c r="F775" s="51"/>
      <c r="G775" s="51"/>
      <c r="H775" s="51"/>
      <c r="I775" s="51"/>
      <c r="J775" s="51"/>
    </row>
    <row r="776" spans="6:10" ht="15.75" customHeight="1">
      <c r="F776" s="51"/>
      <c r="G776" s="51"/>
      <c r="H776" s="51"/>
      <c r="I776" s="51"/>
      <c r="J776" s="51"/>
    </row>
    <row r="777" spans="6:10" ht="15.75" customHeight="1">
      <c r="F777" s="51"/>
      <c r="G777" s="51"/>
      <c r="H777" s="51"/>
      <c r="I777" s="51"/>
      <c r="J777" s="51"/>
    </row>
    <row r="778" spans="6:10" ht="15.75" customHeight="1">
      <c r="F778" s="51"/>
      <c r="G778" s="51"/>
      <c r="H778" s="51"/>
      <c r="I778" s="51"/>
      <c r="J778" s="51"/>
    </row>
    <row r="779" spans="6:10" ht="15.75" customHeight="1">
      <c r="F779" s="51"/>
      <c r="G779" s="51"/>
      <c r="H779" s="51"/>
      <c r="I779" s="51"/>
      <c r="J779" s="51"/>
    </row>
    <row r="780" spans="6:10" ht="15.75" customHeight="1">
      <c r="F780" s="51"/>
      <c r="G780" s="51"/>
      <c r="H780" s="51"/>
      <c r="I780" s="51"/>
      <c r="J780" s="51"/>
    </row>
    <row r="781" spans="6:10" ht="15.75" customHeight="1">
      <c r="F781" s="51"/>
      <c r="G781" s="51"/>
      <c r="H781" s="51"/>
      <c r="I781" s="51"/>
      <c r="J781" s="51"/>
    </row>
    <row r="782" spans="6:10" ht="15.75" customHeight="1">
      <c r="F782" s="51"/>
      <c r="G782" s="51"/>
      <c r="H782" s="51"/>
      <c r="I782" s="51"/>
      <c r="J782" s="51"/>
    </row>
    <row r="783" spans="6:10" ht="15.75" customHeight="1">
      <c r="F783" s="51"/>
      <c r="G783" s="51"/>
      <c r="H783" s="51"/>
      <c r="I783" s="51"/>
      <c r="J783" s="51"/>
    </row>
    <row r="784" spans="6:10" ht="15.75" customHeight="1">
      <c r="F784" s="51"/>
      <c r="G784" s="51"/>
      <c r="H784" s="51"/>
      <c r="I784" s="51"/>
      <c r="J784" s="51"/>
    </row>
    <row r="785" spans="6:10" ht="15.75" customHeight="1">
      <c r="F785" s="51"/>
      <c r="G785" s="51"/>
      <c r="H785" s="51"/>
      <c r="I785" s="51"/>
      <c r="J785" s="51"/>
    </row>
    <row r="786" spans="6:10" ht="15.75" customHeight="1">
      <c r="F786" s="51"/>
      <c r="G786" s="51"/>
      <c r="H786" s="51"/>
      <c r="I786" s="51"/>
      <c r="J786" s="51"/>
    </row>
    <row r="787" spans="6:10" ht="15.75" customHeight="1">
      <c r="F787" s="51"/>
      <c r="G787" s="51"/>
      <c r="H787" s="51"/>
      <c r="I787" s="51"/>
      <c r="J787" s="51"/>
    </row>
    <row r="788" spans="6:10" ht="15.75" customHeight="1">
      <c r="F788" s="51"/>
      <c r="G788" s="51"/>
      <c r="H788" s="51"/>
      <c r="I788" s="51"/>
      <c r="J788" s="51"/>
    </row>
    <row r="789" spans="6:10" ht="15.75" customHeight="1">
      <c r="F789" s="51"/>
      <c r="G789" s="51"/>
      <c r="H789" s="51"/>
      <c r="I789" s="51"/>
      <c r="J789" s="51"/>
    </row>
    <row r="790" spans="6:10" ht="15.75" customHeight="1">
      <c r="F790" s="51"/>
      <c r="G790" s="51"/>
      <c r="H790" s="51"/>
      <c r="I790" s="51"/>
      <c r="J790" s="51"/>
    </row>
    <row r="791" spans="6:10" ht="15.75" customHeight="1">
      <c r="F791" s="51"/>
      <c r="G791" s="51"/>
      <c r="H791" s="51"/>
      <c r="I791" s="51"/>
      <c r="J791" s="51"/>
    </row>
    <row r="792" spans="6:10" ht="15.75" customHeight="1">
      <c r="F792" s="51"/>
      <c r="G792" s="51"/>
      <c r="H792" s="51"/>
      <c r="I792" s="51"/>
      <c r="J792" s="51"/>
    </row>
    <row r="793" spans="6:10" ht="15.75" customHeight="1">
      <c r="F793" s="51"/>
      <c r="G793" s="51"/>
      <c r="H793" s="51"/>
      <c r="I793" s="51"/>
      <c r="J793" s="51"/>
    </row>
    <row r="794" spans="6:10" ht="15.75" customHeight="1">
      <c r="F794" s="51"/>
      <c r="G794" s="51"/>
      <c r="H794" s="51"/>
      <c r="I794" s="51"/>
      <c r="J794" s="51"/>
    </row>
    <row r="795" spans="6:10" ht="15.75" customHeight="1">
      <c r="F795" s="51"/>
      <c r="G795" s="51"/>
      <c r="H795" s="51"/>
      <c r="I795" s="51"/>
      <c r="J795" s="51"/>
    </row>
    <row r="796" spans="6:10" ht="15.75" customHeight="1">
      <c r="F796" s="51"/>
      <c r="G796" s="51"/>
      <c r="H796" s="51"/>
      <c r="I796" s="51"/>
      <c r="J796" s="51"/>
    </row>
    <row r="797" spans="6:10" ht="15.75" customHeight="1">
      <c r="F797" s="51"/>
      <c r="G797" s="51"/>
      <c r="H797" s="51"/>
      <c r="I797" s="51"/>
      <c r="J797" s="51"/>
    </row>
    <row r="798" spans="6:10" ht="15.75" customHeight="1">
      <c r="F798" s="51"/>
      <c r="G798" s="51"/>
      <c r="H798" s="51"/>
      <c r="I798" s="51"/>
      <c r="J798" s="51"/>
    </row>
    <row r="799" spans="6:10" ht="15.75" customHeight="1">
      <c r="F799" s="51"/>
      <c r="G799" s="51"/>
      <c r="H799" s="51"/>
      <c r="I799" s="51"/>
      <c r="J799" s="51"/>
    </row>
    <row r="800" spans="6:10" ht="15.75" customHeight="1">
      <c r="F800" s="51"/>
      <c r="G800" s="51"/>
      <c r="H800" s="51"/>
      <c r="I800" s="51"/>
      <c r="J800" s="51"/>
    </row>
    <row r="801" spans="6:10" ht="15.75" customHeight="1">
      <c r="F801" s="51"/>
      <c r="G801" s="51"/>
      <c r="H801" s="51"/>
      <c r="I801" s="51"/>
      <c r="J801" s="51"/>
    </row>
    <row r="802" spans="6:10" ht="15.75" customHeight="1">
      <c r="F802" s="51"/>
      <c r="G802" s="51"/>
      <c r="H802" s="51"/>
      <c r="I802" s="51"/>
      <c r="J802" s="51"/>
    </row>
    <row r="803" spans="6:10" ht="15.75" customHeight="1">
      <c r="F803" s="51"/>
      <c r="G803" s="51"/>
      <c r="H803" s="51"/>
      <c r="I803" s="51"/>
      <c r="J803" s="51"/>
    </row>
    <row r="804" spans="6:10" ht="15.75" customHeight="1">
      <c r="F804" s="51"/>
      <c r="G804" s="51"/>
      <c r="H804" s="51"/>
      <c r="I804" s="51"/>
      <c r="J804" s="51"/>
    </row>
    <row r="805" spans="6:10" ht="15.75" customHeight="1">
      <c r="F805" s="51"/>
      <c r="G805" s="51"/>
      <c r="H805" s="51"/>
      <c r="I805" s="51"/>
      <c r="J805" s="51"/>
    </row>
    <row r="806" spans="6:10" ht="15.75" customHeight="1">
      <c r="F806" s="51"/>
      <c r="G806" s="51"/>
      <c r="H806" s="51"/>
      <c r="I806" s="51"/>
      <c r="J806" s="51"/>
    </row>
    <row r="807" spans="6:10" ht="15.75" customHeight="1">
      <c r="F807" s="51"/>
      <c r="G807" s="51"/>
      <c r="H807" s="51"/>
      <c r="I807" s="51"/>
      <c r="J807" s="51"/>
    </row>
    <row r="808" spans="6:10" ht="15.75" customHeight="1">
      <c r="F808" s="51"/>
      <c r="G808" s="51"/>
      <c r="H808" s="51"/>
      <c r="I808" s="51"/>
      <c r="J808" s="51"/>
    </row>
    <row r="809" spans="6:10" ht="15.75" customHeight="1">
      <c r="F809" s="51"/>
      <c r="G809" s="51"/>
      <c r="H809" s="51"/>
      <c r="I809" s="51"/>
      <c r="J809" s="51"/>
    </row>
    <row r="810" spans="6:10" ht="15.75" customHeight="1">
      <c r="F810" s="51"/>
      <c r="G810" s="51"/>
      <c r="H810" s="51"/>
      <c r="I810" s="51"/>
      <c r="J810" s="51"/>
    </row>
    <row r="811" spans="6:10" ht="15.75" customHeight="1">
      <c r="F811" s="51"/>
      <c r="G811" s="51"/>
      <c r="H811" s="51"/>
      <c r="I811" s="51"/>
      <c r="J811" s="51"/>
    </row>
    <row r="812" spans="6:10" ht="15.75" customHeight="1">
      <c r="F812" s="51"/>
      <c r="G812" s="51"/>
      <c r="H812" s="51"/>
      <c r="I812" s="51"/>
      <c r="J812" s="51"/>
    </row>
    <row r="813" spans="6:10" ht="15.75" customHeight="1">
      <c r="F813" s="51"/>
      <c r="G813" s="51"/>
      <c r="H813" s="51"/>
      <c r="I813" s="51"/>
      <c r="J813" s="51"/>
    </row>
    <row r="814" spans="6:10" ht="15.75" customHeight="1">
      <c r="F814" s="51"/>
      <c r="G814" s="51"/>
      <c r="H814" s="51"/>
      <c r="I814" s="51"/>
      <c r="J814" s="51"/>
    </row>
    <row r="815" spans="6:10" ht="15.75" customHeight="1">
      <c r="F815" s="51"/>
      <c r="G815" s="51"/>
      <c r="H815" s="51"/>
      <c r="I815" s="51"/>
      <c r="J815" s="51"/>
    </row>
    <row r="816" spans="6:10" ht="15.75" customHeight="1">
      <c r="F816" s="51"/>
      <c r="G816" s="51"/>
      <c r="H816" s="51"/>
      <c r="I816" s="51"/>
      <c r="J816" s="51"/>
    </row>
    <row r="817" spans="6:10" ht="15.75" customHeight="1">
      <c r="F817" s="51"/>
      <c r="G817" s="51"/>
      <c r="H817" s="51"/>
      <c r="I817" s="51"/>
      <c r="J817" s="51"/>
    </row>
    <row r="818" spans="6:10" ht="15.75" customHeight="1">
      <c r="F818" s="51"/>
      <c r="G818" s="51"/>
      <c r="H818" s="51"/>
      <c r="I818" s="51"/>
      <c r="J818" s="51"/>
    </row>
    <row r="819" spans="6:10" ht="15.75" customHeight="1">
      <c r="F819" s="51"/>
      <c r="G819" s="51"/>
      <c r="H819" s="51"/>
      <c r="I819" s="51"/>
      <c r="J819" s="51"/>
    </row>
    <row r="820" spans="6:10" ht="15.75" customHeight="1">
      <c r="F820" s="51"/>
      <c r="G820" s="51"/>
      <c r="H820" s="51"/>
      <c r="I820" s="51"/>
      <c r="J820" s="51"/>
    </row>
    <row r="821" spans="6:10" ht="15.75" customHeight="1">
      <c r="F821" s="51"/>
      <c r="G821" s="51"/>
      <c r="H821" s="51"/>
      <c r="I821" s="51"/>
      <c r="J821" s="51"/>
    </row>
    <row r="822" spans="6:10" ht="15.75" customHeight="1">
      <c r="F822" s="51"/>
      <c r="G822" s="51"/>
      <c r="H822" s="51"/>
      <c r="I822" s="51"/>
      <c r="J822" s="51"/>
    </row>
    <row r="823" spans="6:10" ht="15.75" customHeight="1">
      <c r="F823" s="51"/>
      <c r="G823" s="51"/>
      <c r="H823" s="51"/>
      <c r="I823" s="51"/>
      <c r="J823" s="51"/>
    </row>
    <row r="824" spans="6:10" ht="15.75" customHeight="1">
      <c r="F824" s="51"/>
      <c r="G824" s="51"/>
      <c r="H824" s="51"/>
      <c r="I824" s="51"/>
      <c r="J824" s="51"/>
    </row>
    <row r="825" spans="6:10" ht="15.75" customHeight="1">
      <c r="F825" s="51"/>
      <c r="G825" s="51"/>
      <c r="H825" s="51"/>
      <c r="I825" s="51"/>
      <c r="J825" s="51"/>
    </row>
    <row r="826" spans="6:10" ht="15.75" customHeight="1">
      <c r="F826" s="51"/>
      <c r="G826" s="51"/>
      <c r="H826" s="51"/>
      <c r="I826" s="51"/>
      <c r="J826" s="51"/>
    </row>
    <row r="827" spans="6:10" ht="15.75" customHeight="1">
      <c r="F827" s="51"/>
      <c r="G827" s="51"/>
      <c r="H827" s="51"/>
      <c r="I827" s="51"/>
      <c r="J827" s="51"/>
    </row>
    <row r="828" spans="6:10" ht="15.75" customHeight="1">
      <c r="F828" s="51"/>
      <c r="G828" s="51"/>
      <c r="H828" s="51"/>
      <c r="I828" s="51"/>
      <c r="J828" s="51"/>
    </row>
    <row r="829" spans="6:10" ht="15.75" customHeight="1">
      <c r="F829" s="51"/>
      <c r="G829" s="51"/>
      <c r="H829" s="51"/>
      <c r="I829" s="51"/>
      <c r="J829" s="51"/>
    </row>
    <row r="830" spans="6:10" ht="15.75" customHeight="1">
      <c r="F830" s="51"/>
      <c r="G830" s="51"/>
      <c r="H830" s="51"/>
      <c r="I830" s="51"/>
      <c r="J830" s="51"/>
    </row>
    <row r="831" spans="6:10" ht="15.75" customHeight="1">
      <c r="F831" s="51"/>
      <c r="G831" s="51"/>
      <c r="H831" s="51"/>
      <c r="I831" s="51"/>
      <c r="J831" s="51"/>
    </row>
    <row r="832" spans="6:10" ht="15.75" customHeight="1">
      <c r="F832" s="51"/>
      <c r="G832" s="51"/>
      <c r="H832" s="51"/>
      <c r="I832" s="51"/>
      <c r="J832" s="51"/>
    </row>
    <row r="833" spans="6:10" ht="15.75" customHeight="1">
      <c r="F833" s="51"/>
      <c r="G833" s="51"/>
      <c r="H833" s="51"/>
      <c r="I833" s="51"/>
      <c r="J833" s="51"/>
    </row>
    <row r="834" spans="6:10" ht="15.75" customHeight="1">
      <c r="F834" s="51"/>
      <c r="G834" s="51"/>
      <c r="H834" s="51"/>
      <c r="I834" s="51"/>
      <c r="J834" s="51"/>
    </row>
    <row r="835" spans="6:10" ht="15.75" customHeight="1">
      <c r="F835" s="51"/>
      <c r="G835" s="51"/>
      <c r="H835" s="51"/>
      <c r="I835" s="51"/>
      <c r="J835" s="51"/>
    </row>
    <row r="836" spans="6:10" ht="15.75" customHeight="1">
      <c r="F836" s="51"/>
      <c r="G836" s="51"/>
      <c r="H836" s="51"/>
      <c r="I836" s="51"/>
      <c r="J836" s="51"/>
    </row>
    <row r="837" spans="6:10" ht="15.75" customHeight="1">
      <c r="F837" s="51"/>
      <c r="G837" s="51"/>
      <c r="H837" s="51"/>
      <c r="I837" s="51"/>
      <c r="J837" s="51"/>
    </row>
    <row r="838" spans="6:10" ht="15.75" customHeight="1">
      <c r="F838" s="51"/>
      <c r="G838" s="51"/>
      <c r="H838" s="51"/>
      <c r="I838" s="51"/>
      <c r="J838" s="51"/>
    </row>
    <row r="839" spans="6:10" ht="15.75" customHeight="1">
      <c r="F839" s="51"/>
      <c r="G839" s="51"/>
      <c r="H839" s="51"/>
      <c r="I839" s="51"/>
      <c r="J839" s="51"/>
    </row>
    <row r="840" spans="6:10" ht="15.75" customHeight="1">
      <c r="F840" s="51"/>
      <c r="G840" s="51"/>
      <c r="H840" s="51"/>
      <c r="I840" s="51"/>
      <c r="J840" s="51"/>
    </row>
    <row r="841" spans="6:10" ht="15.75" customHeight="1">
      <c r="F841" s="51"/>
      <c r="G841" s="51"/>
      <c r="H841" s="51"/>
      <c r="I841" s="51"/>
      <c r="J841" s="51"/>
    </row>
    <row r="842" spans="6:10" ht="15.75" customHeight="1">
      <c r="F842" s="51"/>
      <c r="G842" s="51"/>
      <c r="H842" s="51"/>
      <c r="I842" s="51"/>
      <c r="J842" s="51"/>
    </row>
    <row r="843" spans="6:10" ht="15.75" customHeight="1">
      <c r="F843" s="51"/>
      <c r="G843" s="51"/>
      <c r="H843" s="51"/>
      <c r="I843" s="51"/>
      <c r="J843" s="51"/>
    </row>
    <row r="844" spans="6:10" ht="15.75" customHeight="1">
      <c r="F844" s="51"/>
      <c r="G844" s="51"/>
      <c r="H844" s="51"/>
      <c r="I844" s="51"/>
      <c r="J844" s="51"/>
    </row>
    <row r="845" spans="6:10" ht="15.75" customHeight="1">
      <c r="F845" s="51"/>
      <c r="G845" s="51"/>
      <c r="H845" s="51"/>
      <c r="I845" s="51"/>
      <c r="J845" s="51"/>
    </row>
    <row r="846" spans="6:10" ht="15.75" customHeight="1">
      <c r="F846" s="51"/>
      <c r="G846" s="51"/>
      <c r="H846" s="51"/>
      <c r="I846" s="51"/>
      <c r="J846" s="51"/>
    </row>
    <row r="847" spans="6:10" ht="15.75" customHeight="1">
      <c r="F847" s="51"/>
      <c r="G847" s="51"/>
      <c r="H847" s="51"/>
      <c r="I847" s="51"/>
      <c r="J847" s="51"/>
    </row>
    <row r="848" spans="6:10" ht="15.75" customHeight="1">
      <c r="F848" s="51"/>
      <c r="G848" s="51"/>
      <c r="H848" s="51"/>
      <c r="I848" s="51"/>
      <c r="J848" s="51"/>
    </row>
    <row r="849" spans="6:10" ht="15.75" customHeight="1">
      <c r="F849" s="51"/>
      <c r="G849" s="51"/>
      <c r="H849" s="51"/>
      <c r="I849" s="51"/>
      <c r="J849" s="51"/>
    </row>
    <row r="850" spans="6:10" ht="15.75" customHeight="1">
      <c r="F850" s="51"/>
      <c r="G850" s="51"/>
      <c r="H850" s="51"/>
      <c r="I850" s="51"/>
      <c r="J850" s="51"/>
    </row>
    <row r="851" spans="6:10" ht="15.75" customHeight="1">
      <c r="F851" s="51"/>
      <c r="G851" s="51"/>
      <c r="H851" s="51"/>
      <c r="I851" s="51"/>
      <c r="J851" s="51"/>
    </row>
    <row r="852" spans="6:10" ht="15.75" customHeight="1">
      <c r="F852" s="51"/>
      <c r="G852" s="51"/>
      <c r="H852" s="51"/>
      <c r="I852" s="51"/>
      <c r="J852" s="51"/>
    </row>
    <row r="853" spans="6:10" ht="15.75" customHeight="1">
      <c r="F853" s="51"/>
      <c r="G853" s="51"/>
      <c r="H853" s="51"/>
      <c r="I853" s="51"/>
      <c r="J853" s="51"/>
    </row>
    <row r="854" spans="6:10" ht="15.75" customHeight="1">
      <c r="F854" s="51"/>
      <c r="G854" s="51"/>
      <c r="H854" s="51"/>
      <c r="I854" s="51"/>
      <c r="J854" s="51"/>
    </row>
    <row r="855" spans="6:10" ht="15.75" customHeight="1">
      <c r="F855" s="51"/>
      <c r="G855" s="51"/>
      <c r="H855" s="51"/>
      <c r="I855" s="51"/>
      <c r="J855" s="51"/>
    </row>
    <row r="856" spans="6:10" ht="15.75" customHeight="1">
      <c r="F856" s="51"/>
      <c r="G856" s="51"/>
      <c r="H856" s="51"/>
      <c r="I856" s="51"/>
      <c r="J856" s="51"/>
    </row>
    <row r="857" spans="6:10" ht="15.75" customHeight="1">
      <c r="F857" s="51"/>
      <c r="G857" s="51"/>
      <c r="H857" s="51"/>
      <c r="I857" s="51"/>
      <c r="J857" s="51"/>
    </row>
    <row r="858" spans="6:10" ht="15.75" customHeight="1">
      <c r="F858" s="51"/>
      <c r="G858" s="51"/>
      <c r="H858" s="51"/>
      <c r="I858" s="51"/>
      <c r="J858" s="51"/>
    </row>
    <row r="859" spans="6:10" ht="15.75" customHeight="1">
      <c r="F859" s="51"/>
      <c r="G859" s="51"/>
      <c r="H859" s="51"/>
      <c r="I859" s="51"/>
      <c r="J859" s="51"/>
    </row>
    <row r="860" spans="6:10" ht="15.75" customHeight="1">
      <c r="F860" s="51"/>
      <c r="G860" s="51"/>
      <c r="H860" s="51"/>
      <c r="I860" s="51"/>
      <c r="J860" s="51"/>
    </row>
    <row r="861" spans="6:10" ht="15.75" customHeight="1">
      <c r="F861" s="51"/>
      <c r="G861" s="51"/>
      <c r="H861" s="51"/>
      <c r="I861" s="51"/>
      <c r="J861" s="51"/>
    </row>
    <row r="862" spans="6:10" ht="15.75" customHeight="1">
      <c r="F862" s="51"/>
      <c r="G862" s="51"/>
      <c r="H862" s="51"/>
      <c r="I862" s="51"/>
      <c r="J862" s="51"/>
    </row>
    <row r="863" spans="6:10" ht="15.75" customHeight="1">
      <c r="F863" s="51"/>
      <c r="G863" s="51"/>
      <c r="H863" s="51"/>
      <c r="I863" s="51"/>
      <c r="J863" s="51"/>
    </row>
    <row r="864" spans="6:10" ht="15.75" customHeight="1">
      <c r="F864" s="51"/>
      <c r="G864" s="51"/>
      <c r="H864" s="51"/>
      <c r="I864" s="51"/>
      <c r="J864" s="51"/>
    </row>
    <row r="865" spans="6:10" ht="15.75" customHeight="1">
      <c r="F865" s="51"/>
      <c r="G865" s="51"/>
      <c r="H865" s="51"/>
      <c r="I865" s="51"/>
      <c r="J865" s="51"/>
    </row>
    <row r="866" spans="6:10" ht="15.75" customHeight="1">
      <c r="F866" s="51"/>
      <c r="G866" s="51"/>
      <c r="H866" s="51"/>
      <c r="I866" s="51"/>
      <c r="J866" s="51"/>
    </row>
    <row r="867" spans="6:10" ht="15.75" customHeight="1">
      <c r="F867" s="51"/>
      <c r="G867" s="51"/>
      <c r="H867" s="51"/>
      <c r="I867" s="51"/>
      <c r="J867" s="51"/>
    </row>
    <row r="868" spans="6:10" ht="15.75" customHeight="1">
      <c r="F868" s="51"/>
      <c r="G868" s="51"/>
      <c r="H868" s="51"/>
      <c r="I868" s="51"/>
      <c r="J868" s="51"/>
    </row>
    <row r="869" spans="6:10" ht="15.75" customHeight="1">
      <c r="F869" s="51"/>
      <c r="G869" s="51"/>
      <c r="H869" s="51"/>
      <c r="I869" s="51"/>
      <c r="J869" s="51"/>
    </row>
    <row r="870" spans="6:10" ht="15.75" customHeight="1">
      <c r="F870" s="51"/>
      <c r="G870" s="51"/>
      <c r="H870" s="51"/>
      <c r="I870" s="51"/>
      <c r="J870" s="51"/>
    </row>
    <row r="871" spans="6:10" ht="15.75" customHeight="1">
      <c r="F871" s="51"/>
      <c r="G871" s="51"/>
      <c r="H871" s="51"/>
      <c r="I871" s="51"/>
      <c r="J871" s="51"/>
    </row>
    <row r="872" spans="6:10" ht="15.75" customHeight="1">
      <c r="F872" s="51"/>
      <c r="G872" s="51"/>
      <c r="H872" s="51"/>
      <c r="I872" s="51"/>
      <c r="J872" s="51"/>
    </row>
    <row r="873" spans="6:10" ht="15.75" customHeight="1">
      <c r="F873" s="51"/>
      <c r="G873" s="51"/>
      <c r="H873" s="51"/>
      <c r="I873" s="51"/>
      <c r="J873" s="51"/>
    </row>
    <row r="874" spans="6:10" ht="15.75" customHeight="1">
      <c r="F874" s="51"/>
      <c r="G874" s="51"/>
      <c r="H874" s="51"/>
      <c r="I874" s="51"/>
      <c r="J874" s="51"/>
    </row>
    <row r="875" spans="6:10" ht="15.75" customHeight="1">
      <c r="F875" s="51"/>
      <c r="G875" s="51"/>
      <c r="H875" s="51"/>
      <c r="I875" s="51"/>
      <c r="J875" s="51"/>
    </row>
    <row r="876" spans="6:10" ht="15.75" customHeight="1">
      <c r="F876" s="51"/>
      <c r="G876" s="51"/>
      <c r="H876" s="51"/>
      <c r="I876" s="51"/>
      <c r="J876" s="51"/>
    </row>
    <row r="877" spans="6:10" ht="15.75" customHeight="1">
      <c r="F877" s="51"/>
      <c r="G877" s="51"/>
      <c r="H877" s="51"/>
      <c r="I877" s="51"/>
      <c r="J877" s="51"/>
    </row>
    <row r="878" spans="6:10" ht="15.75" customHeight="1">
      <c r="F878" s="51"/>
      <c r="G878" s="51"/>
      <c r="H878" s="51"/>
      <c r="I878" s="51"/>
      <c r="J878" s="51"/>
    </row>
    <row r="879" spans="6:10" ht="15.75" customHeight="1">
      <c r="F879" s="51"/>
      <c r="G879" s="51"/>
      <c r="H879" s="51"/>
      <c r="I879" s="51"/>
      <c r="J879" s="51"/>
    </row>
    <row r="880" spans="6:10" ht="15.75" customHeight="1">
      <c r="F880" s="51"/>
      <c r="G880" s="51"/>
      <c r="H880" s="51"/>
      <c r="I880" s="51"/>
      <c r="J880" s="51"/>
    </row>
    <row r="881" spans="6:10" ht="15.75" customHeight="1">
      <c r="F881" s="51"/>
      <c r="G881" s="51"/>
      <c r="H881" s="51"/>
      <c r="I881" s="51"/>
      <c r="J881" s="51"/>
    </row>
    <row r="882" spans="6:10" ht="15.75" customHeight="1">
      <c r="F882" s="51"/>
      <c r="G882" s="51"/>
      <c r="H882" s="51"/>
      <c r="I882" s="51"/>
      <c r="J882" s="51"/>
    </row>
    <row r="883" spans="6:10" ht="15.75" customHeight="1">
      <c r="F883" s="51"/>
      <c r="G883" s="51"/>
      <c r="H883" s="51"/>
      <c r="I883" s="51"/>
      <c r="J883" s="51"/>
    </row>
    <row r="884" spans="6:10" ht="15.75" customHeight="1">
      <c r="F884" s="51"/>
      <c r="G884" s="51"/>
      <c r="H884" s="51"/>
      <c r="I884" s="51"/>
      <c r="J884" s="51"/>
    </row>
    <row r="885" spans="6:10" ht="15.75" customHeight="1">
      <c r="F885" s="51"/>
      <c r="G885" s="51"/>
      <c r="H885" s="51"/>
      <c r="I885" s="51"/>
      <c r="J885" s="51"/>
    </row>
    <row r="886" spans="6:10" ht="15.75" customHeight="1">
      <c r="F886" s="51"/>
      <c r="G886" s="51"/>
      <c r="H886" s="51"/>
      <c r="I886" s="51"/>
      <c r="J886" s="51"/>
    </row>
    <row r="887" spans="6:10" ht="15.75" customHeight="1">
      <c r="F887" s="51"/>
      <c r="G887" s="51"/>
      <c r="H887" s="51"/>
      <c r="I887" s="51"/>
      <c r="J887" s="51"/>
    </row>
    <row r="888" spans="6:10" ht="15.75" customHeight="1">
      <c r="F888" s="51"/>
      <c r="G888" s="51"/>
      <c r="H888" s="51"/>
      <c r="I888" s="51"/>
      <c r="J888" s="51"/>
    </row>
    <row r="889" spans="6:10" ht="15.75" customHeight="1">
      <c r="F889" s="51"/>
      <c r="G889" s="51"/>
      <c r="H889" s="51"/>
      <c r="I889" s="51"/>
      <c r="J889" s="51"/>
    </row>
    <row r="890" spans="6:10" ht="15.75" customHeight="1">
      <c r="F890" s="51"/>
      <c r="G890" s="51"/>
      <c r="H890" s="51"/>
      <c r="I890" s="51"/>
      <c r="J890" s="51"/>
    </row>
    <row r="891" spans="6:10" ht="15.75" customHeight="1">
      <c r="F891" s="51"/>
      <c r="G891" s="51"/>
      <c r="H891" s="51"/>
      <c r="I891" s="51"/>
      <c r="J891" s="51"/>
    </row>
    <row r="892" spans="6:10" ht="15.75" customHeight="1">
      <c r="F892" s="51"/>
      <c r="G892" s="51"/>
      <c r="H892" s="51"/>
      <c r="I892" s="51"/>
      <c r="J892" s="51"/>
    </row>
    <row r="893" spans="6:10" ht="15.75" customHeight="1">
      <c r="F893" s="51"/>
      <c r="G893" s="51"/>
      <c r="H893" s="51"/>
      <c r="I893" s="51"/>
      <c r="J893" s="51"/>
    </row>
    <row r="894" spans="6:10" ht="15.75" customHeight="1">
      <c r="F894" s="51"/>
      <c r="G894" s="51"/>
      <c r="H894" s="51"/>
      <c r="I894" s="51"/>
      <c r="J894" s="51"/>
    </row>
    <row r="895" spans="6:10" ht="15.75" customHeight="1">
      <c r="F895" s="51"/>
      <c r="G895" s="51"/>
      <c r="H895" s="51"/>
      <c r="I895" s="51"/>
      <c r="J895" s="51"/>
    </row>
    <row r="896" spans="6:10" ht="15.75" customHeight="1">
      <c r="F896" s="51"/>
      <c r="G896" s="51"/>
      <c r="H896" s="51"/>
      <c r="I896" s="51"/>
      <c r="J896" s="51"/>
    </row>
    <row r="897" spans="6:10" ht="15.75" customHeight="1">
      <c r="F897" s="51"/>
      <c r="G897" s="51"/>
      <c r="H897" s="51"/>
      <c r="I897" s="51"/>
      <c r="J897" s="51"/>
    </row>
    <row r="898" spans="6:10" ht="15.75" customHeight="1">
      <c r="F898" s="51"/>
      <c r="G898" s="51"/>
      <c r="H898" s="51"/>
      <c r="I898" s="51"/>
      <c r="J898" s="51"/>
    </row>
    <row r="899" spans="6:10" ht="15.75" customHeight="1">
      <c r="F899" s="51"/>
      <c r="G899" s="51"/>
      <c r="H899" s="51"/>
      <c r="I899" s="51"/>
      <c r="J899" s="51"/>
    </row>
    <row r="900" spans="6:10" ht="15.75" customHeight="1">
      <c r="F900" s="51"/>
      <c r="G900" s="51"/>
      <c r="H900" s="51"/>
      <c r="I900" s="51"/>
      <c r="J900" s="51"/>
    </row>
    <row r="901" spans="6:10" ht="15.75" customHeight="1">
      <c r="F901" s="51"/>
      <c r="G901" s="51"/>
      <c r="H901" s="51"/>
      <c r="I901" s="51"/>
      <c r="J901" s="51"/>
    </row>
    <row r="902" spans="6:10" ht="15.75" customHeight="1">
      <c r="F902" s="51"/>
      <c r="G902" s="51"/>
      <c r="H902" s="51"/>
      <c r="I902" s="51"/>
      <c r="J902" s="51"/>
    </row>
    <row r="903" spans="6:10" ht="15.75" customHeight="1">
      <c r="F903" s="51"/>
      <c r="G903" s="51"/>
      <c r="H903" s="51"/>
      <c r="I903" s="51"/>
      <c r="J903" s="51"/>
    </row>
    <row r="904" spans="6:10" ht="15.75" customHeight="1">
      <c r="F904" s="51"/>
      <c r="G904" s="51"/>
      <c r="H904" s="51"/>
      <c r="I904" s="51"/>
      <c r="J904" s="51"/>
    </row>
    <row r="905" spans="6:10" ht="15.75" customHeight="1">
      <c r="F905" s="51"/>
      <c r="G905" s="51"/>
      <c r="H905" s="51"/>
      <c r="I905" s="51"/>
      <c r="J905" s="51"/>
    </row>
    <row r="906" spans="6:10" ht="15.75" customHeight="1">
      <c r="F906" s="51"/>
      <c r="G906" s="51"/>
      <c r="H906" s="51"/>
      <c r="I906" s="51"/>
      <c r="J906" s="51"/>
    </row>
    <row r="907" spans="6:10" ht="15.75" customHeight="1">
      <c r="F907" s="51"/>
      <c r="G907" s="51"/>
      <c r="H907" s="51"/>
      <c r="I907" s="51"/>
      <c r="J907" s="51"/>
    </row>
    <row r="908" spans="6:10" ht="15.75" customHeight="1">
      <c r="F908" s="51"/>
      <c r="G908" s="51"/>
      <c r="H908" s="51"/>
      <c r="I908" s="51"/>
      <c r="J908" s="51"/>
    </row>
    <row r="909" spans="6:10" ht="15.75" customHeight="1">
      <c r="F909" s="51"/>
      <c r="G909" s="51"/>
      <c r="H909" s="51"/>
      <c r="I909" s="51"/>
      <c r="J909" s="51"/>
    </row>
    <row r="910" spans="6:10" ht="15.75" customHeight="1">
      <c r="F910" s="51"/>
      <c r="G910" s="51"/>
      <c r="H910" s="51"/>
      <c r="I910" s="51"/>
      <c r="J910" s="51"/>
    </row>
    <row r="911" spans="6:10" ht="15.75" customHeight="1">
      <c r="F911" s="51"/>
      <c r="G911" s="51"/>
      <c r="H911" s="51"/>
      <c r="I911" s="51"/>
      <c r="J911" s="51"/>
    </row>
    <row r="912" spans="6:10" ht="15.75" customHeight="1">
      <c r="F912" s="51"/>
      <c r="G912" s="51"/>
      <c r="H912" s="51"/>
      <c r="I912" s="51"/>
      <c r="J912" s="51"/>
    </row>
    <row r="913" spans="6:10" ht="15.75" customHeight="1">
      <c r="F913" s="51"/>
      <c r="G913" s="51"/>
      <c r="H913" s="51"/>
      <c r="I913" s="51"/>
      <c r="J913" s="51"/>
    </row>
    <row r="914" spans="6:10" ht="15.75" customHeight="1">
      <c r="F914" s="51"/>
      <c r="G914" s="51"/>
      <c r="H914" s="51"/>
      <c r="I914" s="51"/>
      <c r="J914" s="51"/>
    </row>
    <row r="915" spans="6:10" ht="15.75" customHeight="1">
      <c r="F915" s="51"/>
      <c r="G915" s="51"/>
      <c r="H915" s="51"/>
      <c r="I915" s="51"/>
      <c r="J915" s="51"/>
    </row>
    <row r="916" spans="6:10" ht="15.75" customHeight="1">
      <c r="F916" s="51"/>
      <c r="G916" s="51"/>
      <c r="H916" s="51"/>
      <c r="I916" s="51"/>
      <c r="J916" s="51"/>
    </row>
    <row r="917" spans="6:10" ht="15.75" customHeight="1">
      <c r="F917" s="51"/>
      <c r="G917" s="51"/>
      <c r="H917" s="51"/>
      <c r="I917" s="51"/>
      <c r="J917" s="51"/>
    </row>
    <row r="918" spans="6:10" ht="15.75" customHeight="1">
      <c r="F918" s="51"/>
      <c r="G918" s="51"/>
      <c r="H918" s="51"/>
      <c r="I918" s="51"/>
      <c r="J918" s="51"/>
    </row>
    <row r="919" spans="6:10" ht="15.75" customHeight="1">
      <c r="F919" s="51"/>
      <c r="G919" s="51"/>
      <c r="H919" s="51"/>
      <c r="I919" s="51"/>
      <c r="J919" s="51"/>
    </row>
    <row r="920" spans="6:10" ht="15.75" customHeight="1">
      <c r="F920" s="51"/>
      <c r="G920" s="51"/>
      <c r="H920" s="51"/>
      <c r="I920" s="51"/>
      <c r="J920" s="51"/>
    </row>
    <row r="921" spans="6:10" ht="15.75" customHeight="1">
      <c r="F921" s="51"/>
      <c r="G921" s="51"/>
      <c r="H921" s="51"/>
      <c r="I921" s="51"/>
      <c r="J921" s="51"/>
    </row>
    <row r="922" spans="6:10" ht="15.75" customHeight="1">
      <c r="F922" s="51"/>
      <c r="G922" s="51"/>
      <c r="H922" s="51"/>
      <c r="I922" s="51"/>
      <c r="J922" s="51"/>
    </row>
    <row r="923" spans="6:10" ht="15.75" customHeight="1">
      <c r="F923" s="51"/>
      <c r="G923" s="51"/>
      <c r="H923" s="51"/>
      <c r="I923" s="51"/>
      <c r="J923" s="51"/>
    </row>
    <row r="924" spans="6:10" ht="15.75" customHeight="1">
      <c r="F924" s="51"/>
      <c r="G924" s="51"/>
      <c r="H924" s="51"/>
      <c r="I924" s="51"/>
      <c r="J924" s="51"/>
    </row>
    <row r="925" spans="6:10" ht="15.75" customHeight="1">
      <c r="F925" s="51"/>
      <c r="G925" s="51"/>
      <c r="H925" s="51"/>
      <c r="I925" s="51"/>
      <c r="J925" s="51"/>
    </row>
    <row r="926" spans="6:10" ht="15.75" customHeight="1">
      <c r="F926" s="51"/>
      <c r="G926" s="51"/>
      <c r="H926" s="51"/>
      <c r="I926" s="51"/>
      <c r="J926" s="51"/>
    </row>
    <row r="927" spans="6:10" ht="15.75" customHeight="1">
      <c r="F927" s="51"/>
      <c r="G927" s="51"/>
      <c r="H927" s="51"/>
      <c r="I927" s="51"/>
      <c r="J927" s="51"/>
    </row>
    <row r="928" spans="6:10" ht="15.75" customHeight="1">
      <c r="F928" s="51"/>
      <c r="G928" s="51"/>
      <c r="H928" s="51"/>
      <c r="I928" s="51"/>
      <c r="J928" s="51"/>
    </row>
    <row r="929" spans="6:10" ht="15.75" customHeight="1">
      <c r="F929" s="51"/>
      <c r="G929" s="51"/>
      <c r="H929" s="51"/>
      <c r="I929" s="51"/>
      <c r="J929" s="51"/>
    </row>
    <row r="930" spans="6:10" ht="15.75" customHeight="1">
      <c r="F930" s="51"/>
      <c r="G930" s="51"/>
      <c r="H930" s="51"/>
      <c r="I930" s="51"/>
      <c r="J930" s="51"/>
    </row>
    <row r="931" spans="6:10" ht="15.75" customHeight="1">
      <c r="F931" s="51"/>
      <c r="G931" s="51"/>
      <c r="H931" s="51"/>
      <c r="I931" s="51"/>
      <c r="J931" s="51"/>
    </row>
    <row r="932" spans="6:10" ht="15.75" customHeight="1">
      <c r="F932" s="51"/>
      <c r="G932" s="51"/>
      <c r="H932" s="51"/>
      <c r="I932" s="51"/>
      <c r="J932" s="51"/>
    </row>
    <row r="933" spans="6:10" ht="15.75" customHeight="1">
      <c r="F933" s="51"/>
      <c r="G933" s="51"/>
      <c r="H933" s="51"/>
      <c r="I933" s="51"/>
      <c r="J933" s="51"/>
    </row>
    <row r="934" spans="6:10" ht="15.75" customHeight="1">
      <c r="F934" s="51"/>
      <c r="G934" s="51"/>
      <c r="H934" s="51"/>
      <c r="I934" s="51"/>
      <c r="J934" s="51"/>
    </row>
    <row r="935" spans="6:10" ht="15.75" customHeight="1">
      <c r="F935" s="51"/>
      <c r="G935" s="51"/>
      <c r="H935" s="51"/>
      <c r="I935" s="51"/>
      <c r="J935" s="51"/>
    </row>
    <row r="936" spans="6:10" ht="15.75" customHeight="1">
      <c r="F936" s="51"/>
      <c r="G936" s="51"/>
      <c r="H936" s="51"/>
      <c r="I936" s="51"/>
      <c r="J936" s="51"/>
    </row>
    <row r="937" spans="6:10" ht="15.75" customHeight="1">
      <c r="F937" s="51"/>
      <c r="G937" s="51"/>
      <c r="H937" s="51"/>
      <c r="I937" s="51"/>
      <c r="J937" s="51"/>
    </row>
    <row r="938" spans="6:10" ht="15.75" customHeight="1">
      <c r="F938" s="51"/>
      <c r="G938" s="51"/>
      <c r="H938" s="51"/>
      <c r="I938" s="51"/>
      <c r="J938" s="51"/>
    </row>
    <row r="939" spans="6:10" ht="15.75" customHeight="1">
      <c r="F939" s="51"/>
      <c r="G939" s="51"/>
      <c r="H939" s="51"/>
      <c r="I939" s="51"/>
      <c r="J939" s="51"/>
    </row>
    <row r="940" spans="6:10" ht="15.75" customHeight="1">
      <c r="F940" s="51"/>
      <c r="G940" s="51"/>
      <c r="H940" s="51"/>
      <c r="I940" s="51"/>
      <c r="J940" s="51"/>
    </row>
    <row r="941" spans="6:10" ht="15.75" customHeight="1">
      <c r="F941" s="51"/>
      <c r="G941" s="51"/>
      <c r="H941" s="51"/>
      <c r="I941" s="51"/>
      <c r="J941" s="51"/>
    </row>
    <row r="942" spans="6:10" ht="15.75" customHeight="1">
      <c r="F942" s="51"/>
      <c r="G942" s="51"/>
      <c r="H942" s="51"/>
      <c r="I942" s="51"/>
      <c r="J942" s="51"/>
    </row>
    <row r="943" spans="6:10" ht="15.75" customHeight="1">
      <c r="F943" s="51"/>
      <c r="G943" s="51"/>
      <c r="H943" s="51"/>
      <c r="I943" s="51"/>
      <c r="J943" s="51"/>
    </row>
    <row r="944" spans="6:10" ht="15.75" customHeight="1">
      <c r="F944" s="51"/>
      <c r="G944" s="51"/>
      <c r="H944" s="51"/>
      <c r="I944" s="51"/>
      <c r="J944" s="51"/>
    </row>
    <row r="945" spans="6:10" ht="15.75" customHeight="1">
      <c r="F945" s="51"/>
      <c r="G945" s="51"/>
      <c r="H945" s="51"/>
      <c r="I945" s="51"/>
      <c r="J945" s="51"/>
    </row>
    <row r="946" spans="6:10" ht="15.75" customHeight="1">
      <c r="F946" s="51"/>
      <c r="G946" s="51"/>
      <c r="H946" s="51"/>
      <c r="I946" s="51"/>
      <c r="J946" s="51"/>
    </row>
    <row r="947" spans="6:10" ht="15.75" customHeight="1">
      <c r="F947" s="51"/>
      <c r="G947" s="51"/>
      <c r="H947" s="51"/>
      <c r="I947" s="51"/>
      <c r="J947" s="51"/>
    </row>
    <row r="948" spans="6:10" ht="15.75" customHeight="1">
      <c r="F948" s="51"/>
      <c r="G948" s="51"/>
      <c r="H948" s="51"/>
      <c r="I948" s="51"/>
      <c r="J948" s="51"/>
    </row>
    <row r="949" spans="6:10" ht="15.75" customHeight="1">
      <c r="F949" s="51"/>
      <c r="G949" s="51"/>
      <c r="H949" s="51"/>
      <c r="I949" s="51"/>
      <c r="J949" s="51"/>
    </row>
    <row r="950" spans="6:10" ht="15.75" customHeight="1">
      <c r="F950" s="51"/>
      <c r="G950" s="51"/>
      <c r="H950" s="51"/>
      <c r="I950" s="51"/>
      <c r="J950" s="51"/>
    </row>
    <row r="951" spans="6:10" ht="15.75" customHeight="1">
      <c r="F951" s="51"/>
      <c r="G951" s="51"/>
      <c r="H951" s="51"/>
      <c r="I951" s="51"/>
      <c r="J951" s="51"/>
    </row>
    <row r="952" spans="6:10" ht="15.75" customHeight="1">
      <c r="F952" s="51"/>
      <c r="G952" s="51"/>
      <c r="H952" s="51"/>
      <c r="I952" s="51"/>
      <c r="J952" s="51"/>
    </row>
    <row r="953" spans="6:10" ht="15.75" customHeight="1">
      <c r="F953" s="51"/>
      <c r="G953" s="51"/>
      <c r="H953" s="51"/>
      <c r="I953" s="51"/>
      <c r="J953" s="51"/>
    </row>
    <row r="954" spans="6:10" ht="15.75" customHeight="1">
      <c r="F954" s="51"/>
      <c r="G954" s="51"/>
      <c r="H954" s="51"/>
      <c r="I954" s="51"/>
      <c r="J954" s="51"/>
    </row>
    <row r="955" spans="6:10" ht="15.75" customHeight="1">
      <c r="F955" s="51"/>
      <c r="G955" s="51"/>
      <c r="H955" s="51"/>
      <c r="I955" s="51"/>
      <c r="J955" s="51"/>
    </row>
    <row r="956" spans="6:10" ht="15.75" customHeight="1">
      <c r="F956" s="51"/>
      <c r="G956" s="51"/>
      <c r="H956" s="51"/>
      <c r="I956" s="51"/>
      <c r="J956" s="51"/>
    </row>
    <row r="957" spans="6:10" ht="15.75" customHeight="1">
      <c r="F957" s="51"/>
      <c r="G957" s="51"/>
      <c r="H957" s="51"/>
      <c r="I957" s="51"/>
      <c r="J957" s="51"/>
    </row>
    <row r="958" spans="6:10" ht="15.75" customHeight="1">
      <c r="F958" s="51"/>
      <c r="G958" s="51"/>
      <c r="H958" s="51"/>
      <c r="I958" s="51"/>
      <c r="J958" s="51"/>
    </row>
    <row r="959" spans="6:10" ht="15.75" customHeight="1">
      <c r="F959" s="51"/>
      <c r="G959" s="51"/>
      <c r="H959" s="51"/>
      <c r="I959" s="51"/>
      <c r="J959" s="51"/>
    </row>
    <row r="960" spans="6:10" ht="15.75" customHeight="1">
      <c r="F960" s="51"/>
      <c r="G960" s="51"/>
      <c r="H960" s="51"/>
      <c r="I960" s="51"/>
      <c r="J960" s="51"/>
    </row>
    <row r="961" spans="6:10" ht="15.75" customHeight="1">
      <c r="F961" s="51"/>
      <c r="G961" s="51"/>
      <c r="H961" s="51"/>
      <c r="I961" s="51"/>
      <c r="J961" s="51"/>
    </row>
    <row r="962" spans="6:10" ht="15.75" customHeight="1">
      <c r="F962" s="51"/>
      <c r="G962" s="51"/>
      <c r="H962" s="51"/>
      <c r="I962" s="51"/>
      <c r="J962" s="51"/>
    </row>
    <row r="963" spans="6:10" ht="15.75" customHeight="1">
      <c r="F963" s="51"/>
      <c r="G963" s="51"/>
      <c r="H963" s="51"/>
      <c r="I963" s="51"/>
      <c r="J963" s="51"/>
    </row>
    <row r="964" spans="6:10" ht="15.75" customHeight="1">
      <c r="F964" s="51"/>
      <c r="G964" s="51"/>
      <c r="H964" s="51"/>
      <c r="I964" s="51"/>
      <c r="J964" s="51"/>
    </row>
    <row r="965" spans="6:10" ht="15.75" customHeight="1">
      <c r="F965" s="51"/>
      <c r="G965" s="51"/>
      <c r="H965" s="51"/>
      <c r="I965" s="51"/>
      <c r="J965" s="51"/>
    </row>
    <row r="966" spans="6:10" ht="15.75" customHeight="1">
      <c r="F966" s="51"/>
      <c r="G966" s="51"/>
      <c r="H966" s="51"/>
      <c r="I966" s="51"/>
      <c r="J966" s="51"/>
    </row>
    <row r="967" spans="6:10" ht="15.75" customHeight="1">
      <c r="F967" s="51"/>
      <c r="G967" s="51"/>
      <c r="H967" s="51"/>
      <c r="I967" s="51"/>
      <c r="J967" s="51"/>
    </row>
    <row r="968" spans="6:10" ht="15.75" customHeight="1">
      <c r="F968" s="51"/>
      <c r="G968" s="51"/>
      <c r="H968" s="51"/>
      <c r="I968" s="51"/>
      <c r="J968" s="51"/>
    </row>
    <row r="969" spans="6:10" ht="15.75" customHeight="1">
      <c r="F969" s="51"/>
      <c r="G969" s="51"/>
      <c r="H969" s="51"/>
      <c r="I969" s="51"/>
      <c r="J969" s="51"/>
    </row>
    <row r="970" spans="6:10" ht="15.75" customHeight="1">
      <c r="F970" s="51"/>
      <c r="G970" s="51"/>
      <c r="H970" s="51"/>
      <c r="I970" s="51"/>
      <c r="J970" s="51"/>
    </row>
    <row r="971" spans="6:10" ht="15.75" customHeight="1">
      <c r="F971" s="51"/>
      <c r="G971" s="51"/>
      <c r="H971" s="51"/>
      <c r="I971" s="51"/>
      <c r="J971" s="51"/>
    </row>
    <row r="972" spans="6:10" ht="15.75" customHeight="1">
      <c r="F972" s="51"/>
      <c r="G972" s="51"/>
      <c r="H972" s="51"/>
      <c r="I972" s="51"/>
      <c r="J972" s="51"/>
    </row>
    <row r="973" spans="6:10" ht="15.75" customHeight="1">
      <c r="F973" s="51"/>
      <c r="G973" s="51"/>
      <c r="H973" s="51"/>
      <c r="I973" s="51"/>
      <c r="J973" s="51"/>
    </row>
    <row r="974" spans="6:10" ht="15.75" customHeight="1">
      <c r="F974" s="51"/>
      <c r="G974" s="51"/>
      <c r="H974" s="51"/>
      <c r="I974" s="51"/>
      <c r="J974" s="51"/>
    </row>
    <row r="975" spans="6:10" ht="15.75" customHeight="1">
      <c r="F975" s="51"/>
      <c r="G975" s="51"/>
      <c r="H975" s="51"/>
      <c r="I975" s="51"/>
      <c r="J975" s="51"/>
    </row>
    <row r="976" spans="6:10" ht="15.75" customHeight="1">
      <c r="F976" s="51"/>
      <c r="G976" s="51"/>
      <c r="H976" s="51"/>
      <c r="I976" s="51"/>
      <c r="J976" s="51"/>
    </row>
    <row r="977" spans="6:10" ht="15.75" customHeight="1">
      <c r="F977" s="51"/>
      <c r="G977" s="51"/>
      <c r="H977" s="51"/>
      <c r="I977" s="51"/>
      <c r="J977" s="51"/>
    </row>
    <row r="978" spans="6:10" ht="15.75" customHeight="1">
      <c r="F978" s="51"/>
      <c r="G978" s="51"/>
      <c r="H978" s="51"/>
      <c r="I978" s="51"/>
      <c r="J978" s="51"/>
    </row>
    <row r="979" spans="6:10" ht="15.75" customHeight="1">
      <c r="F979" s="51"/>
      <c r="G979" s="51"/>
      <c r="H979" s="51"/>
      <c r="I979" s="51"/>
      <c r="J979" s="51"/>
    </row>
    <row r="980" spans="6:10" ht="15.75" customHeight="1">
      <c r="F980" s="51"/>
      <c r="G980" s="51"/>
      <c r="H980" s="51"/>
      <c r="I980" s="51"/>
      <c r="J980" s="51"/>
    </row>
    <row r="981" spans="6:10" ht="15.75" customHeight="1">
      <c r="F981" s="51"/>
      <c r="G981" s="51"/>
      <c r="H981" s="51"/>
      <c r="I981" s="51"/>
      <c r="J981" s="51"/>
    </row>
    <row r="982" spans="6:10" ht="15.75" customHeight="1">
      <c r="F982" s="51"/>
      <c r="G982" s="51"/>
      <c r="H982" s="51"/>
      <c r="I982" s="51"/>
      <c r="J982" s="51"/>
    </row>
    <row r="983" spans="6:10" ht="15.75" customHeight="1">
      <c r="F983" s="51"/>
      <c r="G983" s="51"/>
      <c r="H983" s="51"/>
      <c r="I983" s="51"/>
      <c r="J983" s="51"/>
    </row>
    <row r="984" spans="6:10" ht="15.75" customHeight="1">
      <c r="F984" s="51"/>
      <c r="G984" s="51"/>
      <c r="H984" s="51"/>
      <c r="I984" s="51"/>
      <c r="J984" s="51"/>
    </row>
    <row r="985" spans="6:10" ht="15.75" customHeight="1">
      <c r="F985" s="51"/>
      <c r="G985" s="51"/>
      <c r="H985" s="51"/>
      <c r="I985" s="51"/>
      <c r="J985" s="51"/>
    </row>
    <row r="986" spans="6:10" ht="15.75" customHeight="1">
      <c r="F986" s="51"/>
      <c r="G986" s="51"/>
      <c r="H986" s="51"/>
      <c r="I986" s="51"/>
      <c r="J986" s="51"/>
    </row>
    <row r="987" spans="6:10" ht="15.75" customHeight="1">
      <c r="F987" s="51"/>
      <c r="G987" s="51"/>
      <c r="H987" s="51"/>
      <c r="I987" s="51"/>
      <c r="J987" s="51"/>
    </row>
    <row r="988" spans="6:10" ht="15.75" customHeight="1">
      <c r="F988" s="51"/>
      <c r="G988" s="51"/>
      <c r="H988" s="51"/>
      <c r="I988" s="51"/>
      <c r="J988" s="51"/>
    </row>
    <row r="989" spans="6:10" ht="15.75" customHeight="1">
      <c r="F989" s="51"/>
      <c r="G989" s="51"/>
      <c r="H989" s="51"/>
      <c r="I989" s="51"/>
      <c r="J989" s="51"/>
    </row>
    <row r="990" spans="6:10" ht="15.75" customHeight="1">
      <c r="F990" s="51"/>
      <c r="G990" s="51"/>
      <c r="H990" s="51"/>
      <c r="I990" s="51"/>
      <c r="J990" s="51"/>
    </row>
    <row r="991" spans="6:10" ht="15.75" customHeight="1">
      <c r="F991" s="51"/>
      <c r="G991" s="51"/>
      <c r="H991" s="51"/>
      <c r="I991" s="51"/>
      <c r="J991" s="51"/>
    </row>
    <row r="992" spans="6:10" ht="15.75" customHeight="1">
      <c r="F992" s="51"/>
      <c r="G992" s="51"/>
      <c r="H992" s="51"/>
      <c r="I992" s="51"/>
      <c r="J992" s="51"/>
    </row>
    <row r="993" spans="6:10" ht="15.75" customHeight="1">
      <c r="F993" s="51"/>
      <c r="G993" s="51"/>
      <c r="H993" s="51"/>
      <c r="I993" s="51"/>
      <c r="J993" s="51"/>
    </row>
    <row r="994" spans="6:10" ht="15.75" customHeight="1">
      <c r="F994" s="51"/>
      <c r="G994" s="51"/>
      <c r="H994" s="51"/>
      <c r="I994" s="51"/>
      <c r="J994" s="51"/>
    </row>
    <row r="995" spans="6:10" ht="15.75" customHeight="1">
      <c r="F995" s="51"/>
      <c r="G995" s="51"/>
      <c r="H995" s="51"/>
      <c r="I995" s="51"/>
      <c r="J995" s="51"/>
    </row>
    <row r="996" spans="6:10" ht="15.75" customHeight="1">
      <c r="F996" s="51"/>
      <c r="G996" s="51"/>
      <c r="H996" s="51"/>
      <c r="I996" s="51"/>
      <c r="J996" s="51"/>
    </row>
    <row r="997" spans="6:10" ht="15.75" customHeight="1">
      <c r="F997" s="51"/>
      <c r="G997" s="51"/>
      <c r="H997" s="51"/>
      <c r="I997" s="51"/>
      <c r="J997" s="51"/>
    </row>
    <row r="998" spans="6:10" ht="15.75" customHeight="1">
      <c r="F998" s="51"/>
      <c r="G998" s="51"/>
      <c r="H998" s="51"/>
      <c r="I998" s="51"/>
      <c r="J998" s="51"/>
    </row>
    <row r="999" spans="6:10" ht="15.75" customHeight="1">
      <c r="F999" s="51"/>
      <c r="G999" s="51"/>
      <c r="H999" s="51"/>
      <c r="I999" s="51"/>
      <c r="J999" s="51"/>
    </row>
    <row r="1000" spans="6:10" ht="15.75" customHeight="1">
      <c r="F1000" s="51"/>
      <c r="G1000" s="51"/>
      <c r="H1000" s="51"/>
      <c r="I1000" s="51"/>
      <c r="J1000" s="51"/>
    </row>
    <row r="1001" spans="6:10" ht="15.75" customHeight="1">
      <c r="F1001" s="51"/>
      <c r="G1001" s="51"/>
      <c r="H1001" s="51"/>
      <c r="I1001" s="51"/>
      <c r="J1001" s="51"/>
    </row>
    <row r="1002" spans="6:10" ht="15.75" customHeight="1">
      <c r="F1002" s="51"/>
      <c r="G1002" s="51"/>
      <c r="H1002" s="51"/>
      <c r="I1002" s="51"/>
      <c r="J1002" s="51"/>
    </row>
    <row r="1003" spans="6:10" ht="15.75" customHeight="1">
      <c r="F1003" s="51"/>
      <c r="G1003" s="51"/>
      <c r="H1003" s="51"/>
      <c r="I1003" s="51"/>
      <c r="J1003" s="51"/>
    </row>
    <row r="1004" spans="6:10" ht="15.75" customHeight="1">
      <c r="F1004" s="51"/>
      <c r="G1004" s="51"/>
      <c r="H1004" s="51"/>
      <c r="I1004" s="51"/>
      <c r="J1004" s="51"/>
    </row>
    <row r="1005" spans="6:10" ht="15.75" customHeight="1">
      <c r="F1005" s="51"/>
      <c r="G1005" s="51"/>
      <c r="H1005" s="51"/>
      <c r="I1005" s="51"/>
      <c r="J1005" s="51"/>
    </row>
    <row r="1006" spans="6:10" ht="15.75" customHeight="1">
      <c r="F1006" s="51"/>
      <c r="G1006" s="51"/>
      <c r="H1006" s="51"/>
      <c r="I1006" s="51"/>
      <c r="J1006" s="51"/>
    </row>
    <row r="1007" spans="6:10" ht="15.75" customHeight="1">
      <c r="F1007" s="51"/>
      <c r="G1007" s="51"/>
      <c r="H1007" s="51"/>
      <c r="I1007" s="51"/>
      <c r="J1007" s="51"/>
    </row>
    <row r="1008" spans="6:10" ht="15.75" customHeight="1">
      <c r="F1008" s="51"/>
      <c r="G1008" s="51"/>
      <c r="H1008" s="51"/>
      <c r="I1008" s="51"/>
      <c r="J1008" s="51"/>
    </row>
    <row r="1009" spans="6:10" ht="15.75" customHeight="1">
      <c r="F1009" s="51"/>
      <c r="G1009" s="51"/>
      <c r="H1009" s="51"/>
      <c r="I1009" s="51"/>
      <c r="J1009" s="51"/>
    </row>
    <row r="1010" spans="6:10" ht="15.75" customHeight="1">
      <c r="F1010" s="51"/>
      <c r="G1010" s="51"/>
      <c r="H1010" s="51"/>
      <c r="I1010" s="51"/>
      <c r="J1010" s="51"/>
    </row>
    <row r="1011" spans="6:10" ht="15.75" customHeight="1">
      <c r="F1011" s="51"/>
      <c r="G1011" s="51"/>
      <c r="H1011" s="51"/>
      <c r="I1011" s="51"/>
      <c r="J1011" s="51"/>
    </row>
    <row r="1012" spans="6:10" ht="15.75" customHeight="1">
      <c r="F1012" s="51"/>
      <c r="G1012" s="51"/>
      <c r="H1012" s="51"/>
      <c r="I1012" s="51"/>
      <c r="J1012" s="51"/>
    </row>
    <row r="1013" spans="6:10" ht="15.75" customHeight="1">
      <c r="F1013" s="51"/>
      <c r="G1013" s="51"/>
      <c r="H1013" s="51"/>
      <c r="I1013" s="51"/>
      <c r="J1013" s="51"/>
    </row>
    <row r="1014" spans="6:10" ht="15.75" customHeight="1">
      <c r="F1014" s="51"/>
      <c r="G1014" s="51"/>
      <c r="H1014" s="51"/>
      <c r="I1014" s="51"/>
      <c r="J1014" s="51"/>
    </row>
    <row r="1015" spans="6:10" ht="15.75" customHeight="1">
      <c r="F1015" s="51"/>
      <c r="G1015" s="51"/>
      <c r="H1015" s="51"/>
      <c r="I1015" s="51"/>
      <c r="J1015" s="51"/>
    </row>
    <row r="1016" spans="6:10" ht="15.75" customHeight="1">
      <c r="F1016" s="51"/>
      <c r="G1016" s="51"/>
      <c r="H1016" s="51"/>
      <c r="I1016" s="51"/>
      <c r="J1016" s="51"/>
    </row>
    <row r="1017" spans="6:10" ht="15.75" customHeight="1">
      <c r="F1017" s="51"/>
      <c r="G1017" s="51"/>
      <c r="H1017" s="51"/>
      <c r="I1017" s="51"/>
      <c r="J1017" s="51"/>
    </row>
    <row r="1018" spans="6:10" ht="15.75" customHeight="1">
      <c r="F1018" s="51"/>
      <c r="G1018" s="51"/>
      <c r="H1018" s="51"/>
      <c r="I1018" s="51"/>
      <c r="J1018" s="51"/>
    </row>
    <row r="1019" spans="6:10" ht="15.75" customHeight="1">
      <c r="F1019" s="51"/>
      <c r="G1019" s="51"/>
      <c r="H1019" s="51"/>
      <c r="I1019" s="51"/>
      <c r="J1019" s="51"/>
    </row>
    <row r="1020" spans="6:10" ht="15.75" customHeight="1">
      <c r="F1020" s="51"/>
      <c r="G1020" s="51"/>
      <c r="H1020" s="51"/>
      <c r="I1020" s="51"/>
      <c r="J1020" s="51"/>
    </row>
    <row r="1021" spans="6:10" ht="15.75" customHeight="1">
      <c r="F1021" s="51"/>
      <c r="G1021" s="51"/>
      <c r="H1021" s="51"/>
      <c r="I1021" s="51"/>
      <c r="J1021" s="51"/>
    </row>
    <row r="1022" spans="6:10" ht="15.75" customHeight="1">
      <c r="F1022" s="51"/>
      <c r="G1022" s="51"/>
      <c r="H1022" s="51"/>
      <c r="I1022" s="51"/>
      <c r="J1022" s="51"/>
    </row>
    <row r="1023" spans="6:10" ht="15.75" customHeight="1">
      <c r="F1023" s="51"/>
      <c r="G1023" s="51"/>
      <c r="H1023" s="51"/>
      <c r="I1023" s="51"/>
      <c r="J1023" s="51"/>
    </row>
    <row r="1024" spans="6:10" ht="15.75" customHeight="1">
      <c r="F1024" s="51"/>
      <c r="G1024" s="51"/>
      <c r="H1024" s="51"/>
      <c r="I1024" s="51"/>
      <c r="J1024" s="51"/>
    </row>
    <row r="1025" spans="6:10" ht="15.75" customHeight="1">
      <c r="F1025" s="51"/>
      <c r="G1025" s="51"/>
      <c r="H1025" s="51"/>
      <c r="I1025" s="51"/>
      <c r="J1025" s="51"/>
    </row>
    <row r="1026" spans="6:10" ht="15.75" customHeight="1">
      <c r="F1026" s="51"/>
      <c r="G1026" s="51"/>
      <c r="H1026" s="51"/>
      <c r="I1026" s="51"/>
      <c r="J1026" s="51"/>
    </row>
    <row r="1027" spans="6:10" ht="15.75" customHeight="1">
      <c r="F1027" s="51"/>
      <c r="G1027" s="51"/>
      <c r="H1027" s="51"/>
      <c r="I1027" s="51"/>
      <c r="J1027" s="51"/>
    </row>
    <row r="1028" spans="6:10" ht="15.75" customHeight="1">
      <c r="F1028" s="51"/>
      <c r="G1028" s="51"/>
      <c r="H1028" s="51"/>
      <c r="I1028" s="51"/>
      <c r="J1028" s="51"/>
    </row>
    <row r="1029" spans="6:10" ht="15.75" customHeight="1">
      <c r="F1029" s="51"/>
      <c r="G1029" s="51"/>
      <c r="H1029" s="51"/>
      <c r="I1029" s="51"/>
      <c r="J1029" s="51"/>
    </row>
    <row r="1030" spans="6:10" ht="15.75" customHeight="1">
      <c r="F1030" s="51"/>
      <c r="G1030" s="51"/>
      <c r="H1030" s="51"/>
      <c r="I1030" s="51"/>
      <c r="J1030" s="51"/>
    </row>
  </sheetData>
  <mergeCells count="4">
    <mergeCell ref="A1:D1"/>
    <mergeCell ref="F1:J1"/>
    <mergeCell ref="K1:L1"/>
    <mergeCell ref="M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030"/>
  <sheetViews>
    <sheetView workbookViewId="0"/>
  </sheetViews>
  <sheetFormatPr baseColWidth="10" defaultColWidth="12.6640625" defaultRowHeight="15.75" customHeight="1"/>
  <cols>
    <col min="1" max="1" width="25.33203125" customWidth="1"/>
    <col min="2" max="2" width="8.83203125" customWidth="1"/>
    <col min="3" max="3" width="8" customWidth="1"/>
    <col min="4" max="4" width="9.5" customWidth="1"/>
    <col min="5" max="9" width="8.5" customWidth="1"/>
    <col min="10" max="10" width="11.6640625" customWidth="1"/>
    <col min="11" max="11" width="12.1640625" customWidth="1"/>
    <col min="12" max="12" width="8.33203125" customWidth="1"/>
    <col min="13" max="13" width="9.5" customWidth="1"/>
    <col min="14" max="14" width="7.83203125" customWidth="1"/>
  </cols>
  <sheetData>
    <row r="1" spans="1:15" ht="17">
      <c r="A1" s="62" t="s">
        <v>0</v>
      </c>
      <c r="B1" s="63"/>
      <c r="C1" s="63"/>
      <c r="D1" s="1" t="s">
        <v>1</v>
      </c>
      <c r="E1" s="62" t="s">
        <v>2</v>
      </c>
      <c r="F1" s="63"/>
      <c r="G1" s="63"/>
      <c r="H1" s="63"/>
      <c r="I1" s="63"/>
      <c r="J1" s="62" t="s">
        <v>3</v>
      </c>
      <c r="K1" s="63"/>
      <c r="L1" s="62" t="s">
        <v>4</v>
      </c>
      <c r="M1" s="63"/>
      <c r="N1" s="63"/>
      <c r="O1" s="2"/>
    </row>
    <row r="2" spans="1:15" ht="16">
      <c r="A2" s="3" t="s">
        <v>5</v>
      </c>
      <c r="B2" s="3" t="s">
        <v>6</v>
      </c>
      <c r="C2" s="3" t="s">
        <v>7</v>
      </c>
      <c r="D2" s="3" t="s">
        <v>8</v>
      </c>
      <c r="E2" s="4" t="s">
        <v>9</v>
      </c>
      <c r="F2" s="4" t="s">
        <v>10</v>
      </c>
      <c r="G2" s="4" t="s">
        <v>11</v>
      </c>
      <c r="H2" s="4" t="s">
        <v>12</v>
      </c>
      <c r="I2" s="4" t="s">
        <v>13</v>
      </c>
      <c r="J2" s="3" t="s">
        <v>14</v>
      </c>
      <c r="K2" s="3" t="s">
        <v>15</v>
      </c>
      <c r="L2" s="5" t="s">
        <v>16</v>
      </c>
      <c r="M2" s="5" t="s">
        <v>17</v>
      </c>
      <c r="N2" s="5" t="s">
        <v>18</v>
      </c>
      <c r="O2" s="2"/>
    </row>
    <row r="3" spans="1:15" ht="16">
      <c r="A3" s="6" t="s">
        <v>19</v>
      </c>
      <c r="B3" s="6" t="s">
        <v>20</v>
      </c>
      <c r="C3" s="6">
        <v>33</v>
      </c>
      <c r="D3" s="7" t="s">
        <v>21</v>
      </c>
      <c r="E3" s="6">
        <v>11293</v>
      </c>
      <c r="F3" s="6">
        <v>46254</v>
      </c>
      <c r="G3" s="6">
        <v>21005.5</v>
      </c>
      <c r="H3" s="6">
        <v>20033</v>
      </c>
      <c r="I3" s="6">
        <v>5470.13</v>
      </c>
      <c r="J3" s="8">
        <v>13204.9</v>
      </c>
      <c r="K3" s="8">
        <v>33508.400000000001</v>
      </c>
      <c r="L3" s="9">
        <f t="shared" ref="L3:L257" si="0">(75-25)/(K3-J3)</f>
        <v>2.4626295958824831E-3</v>
      </c>
      <c r="M3" s="9">
        <f t="shared" ref="M3:M257" si="1">25-J3*L3</f>
        <v>-7.5187775506686023</v>
      </c>
      <c r="N3" s="10">
        <f t="shared" ref="N3:N257" si="2">L3*G3+M3</f>
        <v>44.209988425640894</v>
      </c>
      <c r="O3" s="2"/>
    </row>
    <row r="4" spans="1:15" ht="16">
      <c r="A4" s="6" t="s">
        <v>19</v>
      </c>
      <c r="B4" s="6" t="s">
        <v>20</v>
      </c>
      <c r="C4" s="6">
        <v>33</v>
      </c>
      <c r="D4" s="6" t="s">
        <v>22</v>
      </c>
      <c r="E4" s="6">
        <v>11289</v>
      </c>
      <c r="F4" s="6">
        <v>43150</v>
      </c>
      <c r="G4" s="6">
        <v>20638.599999999999</v>
      </c>
      <c r="H4" s="6">
        <v>19879</v>
      </c>
      <c r="I4" s="6">
        <v>5118.9799999999996</v>
      </c>
      <c r="J4" s="8">
        <v>13204.9</v>
      </c>
      <c r="K4" s="8">
        <v>33508.400000000001</v>
      </c>
      <c r="L4" s="9">
        <f t="shared" si="0"/>
        <v>2.4626295958824831E-3</v>
      </c>
      <c r="M4" s="9">
        <f t="shared" si="1"/>
        <v>-7.5187775506686023</v>
      </c>
      <c r="N4" s="10">
        <f t="shared" si="2"/>
        <v>43.306449626911608</v>
      </c>
      <c r="O4" s="2"/>
    </row>
    <row r="5" spans="1:15" ht="16">
      <c r="A5" s="6" t="s">
        <v>19</v>
      </c>
      <c r="B5" s="6" t="s">
        <v>20</v>
      </c>
      <c r="C5" s="6">
        <v>33</v>
      </c>
      <c r="D5" s="6" t="s">
        <v>23</v>
      </c>
      <c r="E5" s="6">
        <v>11285</v>
      </c>
      <c r="F5" s="6">
        <v>42878</v>
      </c>
      <c r="G5" s="6">
        <v>20039.3</v>
      </c>
      <c r="H5" s="6">
        <v>19400</v>
      </c>
      <c r="I5" s="6">
        <v>4790.3100000000004</v>
      </c>
      <c r="J5" s="8">
        <v>13204.9</v>
      </c>
      <c r="K5" s="8">
        <v>33508.400000000001</v>
      </c>
      <c r="L5" s="9">
        <f t="shared" si="0"/>
        <v>2.4626295958824831E-3</v>
      </c>
      <c r="M5" s="9">
        <f t="shared" si="1"/>
        <v>-7.5187775506686023</v>
      </c>
      <c r="N5" s="10">
        <f t="shared" si="2"/>
        <v>41.830595710099239</v>
      </c>
      <c r="O5" s="2"/>
    </row>
    <row r="6" spans="1:15" ht="16">
      <c r="A6" s="6" t="s">
        <v>19</v>
      </c>
      <c r="B6" s="6" t="s">
        <v>20</v>
      </c>
      <c r="C6" s="6">
        <v>33</v>
      </c>
      <c r="D6" s="6" t="s">
        <v>24</v>
      </c>
      <c r="E6" s="6">
        <v>11285</v>
      </c>
      <c r="F6" s="6">
        <v>40233</v>
      </c>
      <c r="G6" s="6">
        <v>19814.900000000001</v>
      </c>
      <c r="H6" s="6">
        <v>19283</v>
      </c>
      <c r="I6" s="6">
        <v>4485.04</v>
      </c>
      <c r="J6" s="8">
        <v>13204.9</v>
      </c>
      <c r="K6" s="8">
        <v>33508.400000000001</v>
      </c>
      <c r="L6" s="9">
        <f t="shared" si="0"/>
        <v>2.4626295958824831E-3</v>
      </c>
      <c r="M6" s="9">
        <f t="shared" si="1"/>
        <v>-7.5187775506686023</v>
      </c>
      <c r="N6" s="10">
        <f t="shared" si="2"/>
        <v>41.277981628783216</v>
      </c>
      <c r="O6" s="2"/>
    </row>
    <row r="7" spans="1:15" ht="16">
      <c r="A7" s="6" t="s">
        <v>19</v>
      </c>
      <c r="B7" s="6" t="s">
        <v>20</v>
      </c>
      <c r="C7" s="6">
        <v>33</v>
      </c>
      <c r="D7" s="12" t="s">
        <v>25</v>
      </c>
      <c r="E7" s="6">
        <v>11287</v>
      </c>
      <c r="F7" s="6">
        <v>39532</v>
      </c>
      <c r="G7" s="6">
        <v>19920</v>
      </c>
      <c r="H7" s="6">
        <v>19480</v>
      </c>
      <c r="I7" s="6">
        <v>4187.32</v>
      </c>
      <c r="J7" s="8">
        <v>13204.9</v>
      </c>
      <c r="K7" s="8">
        <v>33508.400000000001</v>
      </c>
      <c r="L7" s="9">
        <f t="shared" si="0"/>
        <v>2.4626295958824831E-3</v>
      </c>
      <c r="M7" s="9">
        <f t="shared" si="1"/>
        <v>-7.5187775506686023</v>
      </c>
      <c r="N7" s="10">
        <f t="shared" si="2"/>
        <v>41.536803999310465</v>
      </c>
      <c r="O7" s="2"/>
    </row>
    <row r="8" spans="1:15" ht="16">
      <c r="A8" s="13" t="s">
        <v>19</v>
      </c>
      <c r="B8" s="13" t="s">
        <v>20</v>
      </c>
      <c r="C8" s="13">
        <v>33</v>
      </c>
      <c r="D8" s="14" t="s">
        <v>26</v>
      </c>
      <c r="E8" s="13">
        <v>11886</v>
      </c>
      <c r="F8" s="13">
        <v>41788</v>
      </c>
      <c r="G8" s="13">
        <v>17796.7</v>
      </c>
      <c r="H8" s="13">
        <v>16679</v>
      </c>
      <c r="I8" s="13">
        <v>4955.33</v>
      </c>
      <c r="J8" s="8">
        <v>13204.9</v>
      </c>
      <c r="K8" s="8">
        <v>33508.400000000001</v>
      </c>
      <c r="L8" s="9">
        <f t="shared" si="0"/>
        <v>2.4626295958824831E-3</v>
      </c>
      <c r="M8" s="9">
        <f t="shared" si="1"/>
        <v>-7.5187775506686023</v>
      </c>
      <c r="N8" s="10">
        <f t="shared" si="2"/>
        <v>36.307902578373188</v>
      </c>
      <c r="O8" s="2"/>
    </row>
    <row r="9" spans="1:15" ht="16">
      <c r="A9" s="13" t="s">
        <v>19</v>
      </c>
      <c r="B9" s="13" t="s">
        <v>20</v>
      </c>
      <c r="C9" s="13">
        <v>33</v>
      </c>
      <c r="D9" s="13" t="s">
        <v>27</v>
      </c>
      <c r="E9" s="13">
        <v>11886</v>
      </c>
      <c r="F9" s="13">
        <v>41395</v>
      </c>
      <c r="G9" s="13">
        <v>17981</v>
      </c>
      <c r="H9" s="13">
        <v>16699</v>
      </c>
      <c r="I9" s="13">
        <v>5195.07</v>
      </c>
      <c r="J9" s="8">
        <v>13204.9</v>
      </c>
      <c r="K9" s="8">
        <v>33508.400000000001</v>
      </c>
      <c r="L9" s="9">
        <f t="shared" si="0"/>
        <v>2.4626295958824831E-3</v>
      </c>
      <c r="M9" s="9">
        <f t="shared" si="1"/>
        <v>-7.5187775506686023</v>
      </c>
      <c r="N9" s="10">
        <f t="shared" si="2"/>
        <v>36.761765212894325</v>
      </c>
      <c r="O9" s="2"/>
    </row>
    <row r="10" spans="1:15" ht="16">
      <c r="A10" s="13" t="s">
        <v>19</v>
      </c>
      <c r="B10" s="13" t="s">
        <v>20</v>
      </c>
      <c r="C10" s="13">
        <v>33</v>
      </c>
      <c r="D10" s="13" t="s">
        <v>28</v>
      </c>
      <c r="E10" s="13">
        <v>11886</v>
      </c>
      <c r="F10" s="13">
        <v>43403</v>
      </c>
      <c r="G10" s="13">
        <v>18086.5</v>
      </c>
      <c r="H10" s="13">
        <v>16818</v>
      </c>
      <c r="I10" s="13">
        <v>5254.6</v>
      </c>
      <c r="J10" s="8">
        <v>13204.9</v>
      </c>
      <c r="K10" s="8">
        <v>33508.400000000001</v>
      </c>
      <c r="L10" s="9">
        <f t="shared" si="0"/>
        <v>2.4626295958824831E-3</v>
      </c>
      <c r="M10" s="9">
        <f t="shared" si="1"/>
        <v>-7.5187775506686023</v>
      </c>
      <c r="N10" s="10">
        <f t="shared" si="2"/>
        <v>37.021572635259929</v>
      </c>
      <c r="O10" s="2"/>
    </row>
    <row r="11" spans="1:15" ht="16">
      <c r="A11" s="13" t="s">
        <v>19</v>
      </c>
      <c r="B11" s="13" t="s">
        <v>20</v>
      </c>
      <c r="C11" s="13">
        <v>33</v>
      </c>
      <c r="D11" s="13" t="s">
        <v>29</v>
      </c>
      <c r="E11" s="13">
        <v>11886</v>
      </c>
      <c r="F11" s="13">
        <v>42928</v>
      </c>
      <c r="G11" s="13">
        <v>17864.3</v>
      </c>
      <c r="H11" s="13">
        <v>16735</v>
      </c>
      <c r="I11" s="13">
        <v>5022.9399999999996</v>
      </c>
      <c r="J11" s="8">
        <v>13204.9</v>
      </c>
      <c r="K11" s="8">
        <v>33508.400000000001</v>
      </c>
      <c r="L11" s="9">
        <f t="shared" si="0"/>
        <v>2.4626295958824831E-3</v>
      </c>
      <c r="M11" s="9">
        <f t="shared" si="1"/>
        <v>-7.5187775506686023</v>
      </c>
      <c r="N11" s="10">
        <f t="shared" si="2"/>
        <v>36.474376339054842</v>
      </c>
      <c r="O11" s="2"/>
    </row>
    <row r="12" spans="1:15" ht="16">
      <c r="A12" s="13" t="s">
        <v>19</v>
      </c>
      <c r="B12" s="13" t="s">
        <v>20</v>
      </c>
      <c r="C12" s="13">
        <v>33</v>
      </c>
      <c r="D12" s="15" t="s">
        <v>30</v>
      </c>
      <c r="E12" s="13">
        <v>11886</v>
      </c>
      <c r="F12" s="13">
        <v>43959</v>
      </c>
      <c r="G12" s="13">
        <v>17948.5</v>
      </c>
      <c r="H12" s="13">
        <v>16894</v>
      </c>
      <c r="I12" s="13">
        <v>4999.1000000000004</v>
      </c>
      <c r="J12" s="8">
        <v>13204.9</v>
      </c>
      <c r="K12" s="8">
        <v>33508.400000000001</v>
      </c>
      <c r="L12" s="9">
        <f t="shared" si="0"/>
        <v>2.4626295958824831E-3</v>
      </c>
      <c r="M12" s="9">
        <f t="shared" si="1"/>
        <v>-7.5187775506686023</v>
      </c>
      <c r="N12" s="10">
        <f t="shared" si="2"/>
        <v>36.681729751028143</v>
      </c>
      <c r="O12" s="2"/>
    </row>
    <row r="13" spans="1:15" ht="16">
      <c r="A13" s="16" t="s">
        <v>19</v>
      </c>
      <c r="B13" s="16" t="s">
        <v>20</v>
      </c>
      <c r="C13" s="16">
        <v>33</v>
      </c>
      <c r="D13" s="17" t="s">
        <v>31</v>
      </c>
      <c r="E13" s="16">
        <v>15041</v>
      </c>
      <c r="F13" s="16">
        <v>50513</v>
      </c>
      <c r="G13" s="16">
        <v>22594</v>
      </c>
      <c r="H13" s="16">
        <v>21792</v>
      </c>
      <c r="I13" s="16">
        <v>5517.22</v>
      </c>
      <c r="J13" s="8">
        <v>13204.9</v>
      </c>
      <c r="K13" s="8">
        <v>33508.400000000001</v>
      </c>
      <c r="L13" s="9">
        <f t="shared" si="0"/>
        <v>2.4626295958824831E-3</v>
      </c>
      <c r="M13" s="9">
        <f t="shared" si="1"/>
        <v>-7.5187775506686023</v>
      </c>
      <c r="N13" s="10">
        <f t="shared" si="2"/>
        <v>48.121875538700223</v>
      </c>
      <c r="O13" s="2"/>
    </row>
    <row r="14" spans="1:15" ht="16">
      <c r="A14" s="16" t="s">
        <v>19</v>
      </c>
      <c r="B14" s="16" t="s">
        <v>20</v>
      </c>
      <c r="C14" s="16">
        <v>33</v>
      </c>
      <c r="D14" s="16" t="s">
        <v>32</v>
      </c>
      <c r="E14" s="16">
        <v>15041</v>
      </c>
      <c r="F14" s="16">
        <v>53047</v>
      </c>
      <c r="G14" s="16">
        <v>23773.5</v>
      </c>
      <c r="H14" s="16">
        <v>22845</v>
      </c>
      <c r="I14" s="16">
        <v>6398.4</v>
      </c>
      <c r="J14" s="8">
        <v>13204.9</v>
      </c>
      <c r="K14" s="8">
        <v>33508.400000000001</v>
      </c>
      <c r="L14" s="9">
        <f t="shared" si="0"/>
        <v>2.4626295958824831E-3</v>
      </c>
      <c r="M14" s="9">
        <f t="shared" si="1"/>
        <v>-7.5187775506686023</v>
      </c>
      <c r="N14" s="10">
        <f t="shared" si="2"/>
        <v>51.026547147043608</v>
      </c>
      <c r="O14" s="2"/>
    </row>
    <row r="15" spans="1:15" ht="16">
      <c r="A15" s="16" t="s">
        <v>19</v>
      </c>
      <c r="B15" s="16" t="s">
        <v>20</v>
      </c>
      <c r="C15" s="16">
        <v>33</v>
      </c>
      <c r="D15" s="16" t="s">
        <v>33</v>
      </c>
      <c r="E15" s="16">
        <v>15041</v>
      </c>
      <c r="F15" s="16">
        <v>54235</v>
      </c>
      <c r="G15" s="16">
        <v>24128.3</v>
      </c>
      <c r="H15" s="16">
        <v>22866</v>
      </c>
      <c r="I15" s="16">
        <v>6905.35</v>
      </c>
      <c r="J15" s="8">
        <v>13204.9</v>
      </c>
      <c r="K15" s="8">
        <v>33508.400000000001</v>
      </c>
      <c r="L15" s="9">
        <f t="shared" si="0"/>
        <v>2.4626295958824831E-3</v>
      </c>
      <c r="M15" s="9">
        <f t="shared" si="1"/>
        <v>-7.5187775506686023</v>
      </c>
      <c r="N15" s="10">
        <f t="shared" si="2"/>
        <v>51.900288127662712</v>
      </c>
      <c r="O15" s="2"/>
    </row>
    <row r="16" spans="1:15" ht="16">
      <c r="A16" s="16" t="s">
        <v>19</v>
      </c>
      <c r="B16" s="16" t="s">
        <v>20</v>
      </c>
      <c r="C16" s="16">
        <v>33</v>
      </c>
      <c r="D16" s="16" t="s">
        <v>34</v>
      </c>
      <c r="E16" s="16">
        <v>15041</v>
      </c>
      <c r="F16" s="16">
        <v>56252</v>
      </c>
      <c r="G16" s="16">
        <v>24437.599999999999</v>
      </c>
      <c r="H16" s="16">
        <v>23057</v>
      </c>
      <c r="I16" s="16">
        <v>7190.55</v>
      </c>
      <c r="J16" s="8">
        <v>13204.9</v>
      </c>
      <c r="K16" s="8">
        <v>33508.400000000001</v>
      </c>
      <c r="L16" s="9">
        <f t="shared" si="0"/>
        <v>2.4626295958824831E-3</v>
      </c>
      <c r="M16" s="9">
        <f t="shared" si="1"/>
        <v>-7.5187775506686023</v>
      </c>
      <c r="N16" s="10">
        <f t="shared" si="2"/>
        <v>52.661979461669162</v>
      </c>
      <c r="O16" s="2"/>
    </row>
    <row r="17" spans="1:15" ht="16">
      <c r="A17" s="16" t="s">
        <v>19</v>
      </c>
      <c r="B17" s="16" t="s">
        <v>20</v>
      </c>
      <c r="C17" s="16">
        <v>33</v>
      </c>
      <c r="D17" s="18" t="s">
        <v>35</v>
      </c>
      <c r="E17" s="16">
        <v>15041</v>
      </c>
      <c r="F17" s="16">
        <v>60903</v>
      </c>
      <c r="G17" s="16">
        <v>25028.5</v>
      </c>
      <c r="H17" s="16">
        <v>23558</v>
      </c>
      <c r="I17" s="16">
        <v>7684.42</v>
      </c>
      <c r="J17" s="8">
        <v>13204.9</v>
      </c>
      <c r="K17" s="8">
        <v>33508.400000000001</v>
      </c>
      <c r="L17" s="9">
        <f t="shared" si="0"/>
        <v>2.4626295958824831E-3</v>
      </c>
      <c r="M17" s="9">
        <f t="shared" si="1"/>
        <v>-7.5187775506686023</v>
      </c>
      <c r="N17" s="10">
        <f t="shared" si="2"/>
        <v>54.117147289876129</v>
      </c>
      <c r="O17" s="2"/>
    </row>
    <row r="18" spans="1:15" ht="16">
      <c r="A18" s="6" t="s">
        <v>19</v>
      </c>
      <c r="B18" s="6" t="s">
        <v>36</v>
      </c>
      <c r="C18" s="6">
        <v>35</v>
      </c>
      <c r="D18" s="7" t="s">
        <v>21</v>
      </c>
      <c r="E18" s="6">
        <v>9968</v>
      </c>
      <c r="F18" s="6">
        <v>41174</v>
      </c>
      <c r="G18" s="6">
        <v>19817</v>
      </c>
      <c r="H18" s="6">
        <v>18915</v>
      </c>
      <c r="I18" s="6">
        <v>5475.15</v>
      </c>
      <c r="J18" s="8">
        <v>13204.9</v>
      </c>
      <c r="K18" s="8">
        <v>33508.400000000001</v>
      </c>
      <c r="L18" s="9">
        <f t="shared" si="0"/>
        <v>2.4626295958824831E-3</v>
      </c>
      <c r="M18" s="9">
        <f t="shared" si="1"/>
        <v>-7.5187775506686023</v>
      </c>
      <c r="N18" s="10">
        <f t="shared" si="2"/>
        <v>41.283153150934567</v>
      </c>
      <c r="O18" s="2"/>
    </row>
    <row r="19" spans="1:15" ht="16">
      <c r="A19" s="6" t="s">
        <v>19</v>
      </c>
      <c r="B19" s="6" t="s">
        <v>36</v>
      </c>
      <c r="C19" s="6">
        <v>35</v>
      </c>
      <c r="D19" s="6" t="s">
        <v>22</v>
      </c>
      <c r="E19" s="6">
        <v>10394</v>
      </c>
      <c r="F19" s="6">
        <v>43497</v>
      </c>
      <c r="G19" s="6">
        <v>19057.400000000001</v>
      </c>
      <c r="H19" s="6">
        <v>18089</v>
      </c>
      <c r="I19" s="6">
        <v>5304.28</v>
      </c>
      <c r="J19" s="8">
        <v>13204.9</v>
      </c>
      <c r="K19" s="8">
        <v>33508.400000000001</v>
      </c>
      <c r="L19" s="9">
        <f t="shared" si="0"/>
        <v>2.4626295958824831E-3</v>
      </c>
      <c r="M19" s="9">
        <f t="shared" si="1"/>
        <v>-7.5187775506686023</v>
      </c>
      <c r="N19" s="10">
        <f t="shared" si="2"/>
        <v>39.412539709902234</v>
      </c>
      <c r="O19" s="2"/>
    </row>
    <row r="20" spans="1:15" ht="16">
      <c r="A20" s="6" t="s">
        <v>19</v>
      </c>
      <c r="B20" s="6" t="s">
        <v>36</v>
      </c>
      <c r="C20" s="6">
        <v>35</v>
      </c>
      <c r="D20" s="6" t="s">
        <v>23</v>
      </c>
      <c r="E20" s="6">
        <v>9984</v>
      </c>
      <c r="F20" s="6">
        <v>40238</v>
      </c>
      <c r="G20" s="6">
        <v>18832.400000000001</v>
      </c>
      <c r="H20" s="6">
        <v>18116</v>
      </c>
      <c r="I20" s="6">
        <v>4902.91</v>
      </c>
      <c r="J20" s="8">
        <v>13204.9</v>
      </c>
      <c r="K20" s="8">
        <v>33508.400000000001</v>
      </c>
      <c r="L20" s="9">
        <f t="shared" si="0"/>
        <v>2.4626295958824831E-3</v>
      </c>
      <c r="M20" s="9">
        <f t="shared" si="1"/>
        <v>-7.5187775506686023</v>
      </c>
      <c r="N20" s="10">
        <f t="shared" si="2"/>
        <v>38.858448050828677</v>
      </c>
      <c r="O20" s="2"/>
    </row>
    <row r="21" spans="1:15" ht="16">
      <c r="A21" s="6" t="s">
        <v>19</v>
      </c>
      <c r="B21" s="6" t="s">
        <v>36</v>
      </c>
      <c r="C21" s="6">
        <v>35</v>
      </c>
      <c r="D21" s="6" t="s">
        <v>24</v>
      </c>
      <c r="E21" s="6">
        <v>9969</v>
      </c>
      <c r="F21" s="6">
        <v>39755</v>
      </c>
      <c r="G21" s="6">
        <v>18354.8</v>
      </c>
      <c r="H21" s="6">
        <v>17695</v>
      </c>
      <c r="I21" s="6">
        <v>4637.53</v>
      </c>
      <c r="J21" s="8">
        <v>13204.9</v>
      </c>
      <c r="K21" s="8">
        <v>33508.400000000001</v>
      </c>
      <c r="L21" s="9">
        <f t="shared" si="0"/>
        <v>2.4626295958824831E-3</v>
      </c>
      <c r="M21" s="9">
        <f t="shared" si="1"/>
        <v>-7.5187775506686023</v>
      </c>
      <c r="N21" s="10">
        <f t="shared" si="2"/>
        <v>37.682296155835196</v>
      </c>
      <c r="O21" s="2"/>
    </row>
    <row r="22" spans="1:15" ht="16">
      <c r="A22" s="6" t="s">
        <v>19</v>
      </c>
      <c r="B22" s="6" t="s">
        <v>36</v>
      </c>
      <c r="C22" s="6">
        <v>35</v>
      </c>
      <c r="D22" s="12" t="s">
        <v>25</v>
      </c>
      <c r="E22" s="6">
        <v>9970</v>
      </c>
      <c r="F22" s="6">
        <v>36085</v>
      </c>
      <c r="G22" s="6">
        <v>18649.7</v>
      </c>
      <c r="H22" s="6">
        <v>18011</v>
      </c>
      <c r="I22" s="6">
        <v>4193.96</v>
      </c>
      <c r="J22" s="8">
        <v>13204.9</v>
      </c>
      <c r="K22" s="8">
        <v>33508.400000000001</v>
      </c>
      <c r="L22" s="9">
        <f t="shared" si="0"/>
        <v>2.4626295958824831E-3</v>
      </c>
      <c r="M22" s="9">
        <f t="shared" si="1"/>
        <v>-7.5187775506686023</v>
      </c>
      <c r="N22" s="10">
        <f t="shared" si="2"/>
        <v>38.408525623660942</v>
      </c>
      <c r="O22" s="2"/>
    </row>
    <row r="23" spans="1:15" ht="16">
      <c r="A23" s="13" t="s">
        <v>19</v>
      </c>
      <c r="B23" s="13" t="s">
        <v>36</v>
      </c>
      <c r="C23" s="13">
        <v>35</v>
      </c>
      <c r="D23" s="14" t="s">
        <v>26</v>
      </c>
      <c r="E23" s="13">
        <v>9917</v>
      </c>
      <c r="F23" s="13">
        <v>32380</v>
      </c>
      <c r="G23" s="13">
        <v>16166.9</v>
      </c>
      <c r="H23" s="13">
        <v>15831</v>
      </c>
      <c r="I23" s="13">
        <v>3398.43</v>
      </c>
      <c r="J23" s="8">
        <v>13204.9</v>
      </c>
      <c r="K23" s="8">
        <v>33508.400000000001</v>
      </c>
      <c r="L23" s="9">
        <f t="shared" si="0"/>
        <v>2.4626295958824831E-3</v>
      </c>
      <c r="M23" s="9">
        <f t="shared" si="1"/>
        <v>-7.5187775506686023</v>
      </c>
      <c r="N23" s="10">
        <f t="shared" si="2"/>
        <v>32.294308863003913</v>
      </c>
      <c r="O23" s="2"/>
    </row>
    <row r="24" spans="1:15" ht="16">
      <c r="A24" s="13" t="s">
        <v>19</v>
      </c>
      <c r="B24" s="13" t="s">
        <v>36</v>
      </c>
      <c r="C24" s="13">
        <v>35</v>
      </c>
      <c r="D24" s="13" t="s">
        <v>27</v>
      </c>
      <c r="E24" s="13">
        <v>9917</v>
      </c>
      <c r="F24" s="13">
        <v>33664</v>
      </c>
      <c r="G24" s="13">
        <v>16231.1</v>
      </c>
      <c r="H24" s="13">
        <v>15810</v>
      </c>
      <c r="I24" s="13">
        <v>3587.51</v>
      </c>
      <c r="J24" s="8">
        <v>13204.9</v>
      </c>
      <c r="K24" s="8">
        <v>33508.400000000001</v>
      </c>
      <c r="L24" s="9">
        <f t="shared" si="0"/>
        <v>2.4626295958824831E-3</v>
      </c>
      <c r="M24" s="9">
        <f t="shared" si="1"/>
        <v>-7.5187775506686023</v>
      </c>
      <c r="N24" s="10">
        <f t="shared" si="2"/>
        <v>32.452409683059571</v>
      </c>
      <c r="O24" s="2"/>
    </row>
    <row r="25" spans="1:15" ht="16">
      <c r="A25" s="13" t="s">
        <v>19</v>
      </c>
      <c r="B25" s="13" t="s">
        <v>36</v>
      </c>
      <c r="C25" s="13">
        <v>35</v>
      </c>
      <c r="D25" s="13" t="s">
        <v>28</v>
      </c>
      <c r="E25" s="13">
        <v>9917</v>
      </c>
      <c r="F25" s="13">
        <v>34229</v>
      </c>
      <c r="G25" s="13">
        <v>16392.099999999999</v>
      </c>
      <c r="H25" s="13">
        <v>15950</v>
      </c>
      <c r="I25" s="13">
        <v>3480.04</v>
      </c>
      <c r="J25" s="8">
        <v>13204.9</v>
      </c>
      <c r="K25" s="8">
        <v>33508.400000000001</v>
      </c>
      <c r="L25" s="9">
        <f t="shared" si="0"/>
        <v>2.4626295958824831E-3</v>
      </c>
      <c r="M25" s="9">
        <f t="shared" si="1"/>
        <v>-7.5187775506686023</v>
      </c>
      <c r="N25" s="10">
        <f t="shared" si="2"/>
        <v>32.848893047996647</v>
      </c>
      <c r="O25" s="2"/>
    </row>
    <row r="26" spans="1:15" ht="16">
      <c r="A26" s="13" t="s">
        <v>19</v>
      </c>
      <c r="B26" s="13" t="s">
        <v>36</v>
      </c>
      <c r="C26" s="13">
        <v>35</v>
      </c>
      <c r="D26" s="13" t="s">
        <v>29</v>
      </c>
      <c r="E26" s="13">
        <v>9917</v>
      </c>
      <c r="F26" s="13">
        <v>35821</v>
      </c>
      <c r="G26" s="13">
        <v>16319</v>
      </c>
      <c r="H26" s="13">
        <v>15909</v>
      </c>
      <c r="I26" s="13">
        <v>3537.72</v>
      </c>
      <c r="J26" s="8">
        <v>13204.9</v>
      </c>
      <c r="K26" s="8">
        <v>33508.400000000001</v>
      </c>
      <c r="L26" s="9">
        <f t="shared" si="0"/>
        <v>2.4626295958824831E-3</v>
      </c>
      <c r="M26" s="9">
        <f t="shared" si="1"/>
        <v>-7.5187775506686023</v>
      </c>
      <c r="N26" s="10">
        <f t="shared" si="2"/>
        <v>32.668874824537639</v>
      </c>
      <c r="O26" s="2"/>
    </row>
    <row r="27" spans="1:15" ht="16">
      <c r="A27" s="13" t="s">
        <v>19</v>
      </c>
      <c r="B27" s="13" t="s">
        <v>36</v>
      </c>
      <c r="C27" s="13">
        <v>35</v>
      </c>
      <c r="D27" s="15" t="s">
        <v>30</v>
      </c>
      <c r="E27" s="13">
        <v>9917</v>
      </c>
      <c r="F27" s="13">
        <v>36280</v>
      </c>
      <c r="G27" s="13">
        <v>16220.6</v>
      </c>
      <c r="H27" s="13">
        <v>15760</v>
      </c>
      <c r="I27" s="13">
        <v>3642.97</v>
      </c>
      <c r="J27" s="8">
        <v>13204.9</v>
      </c>
      <c r="K27" s="8">
        <v>33508.400000000001</v>
      </c>
      <c r="L27" s="9">
        <f t="shared" si="0"/>
        <v>2.4626295958824831E-3</v>
      </c>
      <c r="M27" s="9">
        <f t="shared" si="1"/>
        <v>-7.5187775506686023</v>
      </c>
      <c r="N27" s="10">
        <f t="shared" si="2"/>
        <v>32.426552072302805</v>
      </c>
      <c r="O27" s="2"/>
    </row>
    <row r="28" spans="1:15" ht="16">
      <c r="A28" s="16" t="s">
        <v>19</v>
      </c>
      <c r="B28" s="16" t="s">
        <v>36</v>
      </c>
      <c r="C28" s="16">
        <v>35</v>
      </c>
      <c r="D28" s="17" t="s">
        <v>31</v>
      </c>
      <c r="E28" s="16">
        <v>11649</v>
      </c>
      <c r="F28" s="16">
        <v>46714</v>
      </c>
      <c r="G28" s="16">
        <v>22170.6</v>
      </c>
      <c r="H28" s="16">
        <v>21272</v>
      </c>
      <c r="I28" s="16">
        <v>5375.36</v>
      </c>
      <c r="J28" s="8">
        <v>13204.9</v>
      </c>
      <c r="K28" s="8">
        <v>33508.400000000001</v>
      </c>
      <c r="L28" s="9">
        <f t="shared" si="0"/>
        <v>2.4626295958824831E-3</v>
      </c>
      <c r="M28" s="9">
        <f t="shared" si="1"/>
        <v>-7.5187775506686023</v>
      </c>
      <c r="N28" s="10">
        <f t="shared" si="2"/>
        <v>47.079198167803575</v>
      </c>
      <c r="O28" s="2"/>
    </row>
    <row r="29" spans="1:15" ht="16">
      <c r="A29" s="16" t="s">
        <v>19</v>
      </c>
      <c r="B29" s="16" t="s">
        <v>36</v>
      </c>
      <c r="C29" s="16">
        <v>35</v>
      </c>
      <c r="D29" s="16" t="s">
        <v>32</v>
      </c>
      <c r="E29" s="16">
        <v>11648</v>
      </c>
      <c r="F29" s="16">
        <v>48390</v>
      </c>
      <c r="G29" s="16">
        <v>22523.7</v>
      </c>
      <c r="H29" s="16">
        <v>21528</v>
      </c>
      <c r="I29" s="16">
        <v>5682.33</v>
      </c>
      <c r="J29" s="8">
        <v>13204.9</v>
      </c>
      <c r="K29" s="8">
        <v>33508.400000000001</v>
      </c>
      <c r="L29" s="9">
        <f t="shared" si="0"/>
        <v>2.4626295958824831E-3</v>
      </c>
      <c r="M29" s="9">
        <f t="shared" si="1"/>
        <v>-7.5187775506686023</v>
      </c>
      <c r="N29" s="10">
        <f t="shared" si="2"/>
        <v>47.948752678109685</v>
      </c>
      <c r="O29" s="2"/>
    </row>
    <row r="30" spans="1:15" ht="16">
      <c r="A30" s="16" t="s">
        <v>19</v>
      </c>
      <c r="B30" s="16" t="s">
        <v>36</v>
      </c>
      <c r="C30" s="16">
        <v>35</v>
      </c>
      <c r="D30" s="16" t="s">
        <v>33</v>
      </c>
      <c r="E30" s="16">
        <v>11652</v>
      </c>
      <c r="F30" s="16">
        <v>48410</v>
      </c>
      <c r="G30" s="16">
        <v>22296.2</v>
      </c>
      <c r="H30" s="16">
        <v>21280</v>
      </c>
      <c r="I30" s="16">
        <v>5520.95</v>
      </c>
      <c r="J30" s="8">
        <v>13204.9</v>
      </c>
      <c r="K30" s="8">
        <v>33508.400000000001</v>
      </c>
      <c r="L30" s="9">
        <f t="shared" si="0"/>
        <v>2.4626295958824831E-3</v>
      </c>
      <c r="M30" s="9">
        <f t="shared" si="1"/>
        <v>-7.5187775506686023</v>
      </c>
      <c r="N30" s="10">
        <f t="shared" si="2"/>
        <v>47.388504445046422</v>
      </c>
      <c r="O30" s="2"/>
    </row>
    <row r="31" spans="1:15" ht="16">
      <c r="A31" s="16" t="s">
        <v>19</v>
      </c>
      <c r="B31" s="16" t="s">
        <v>36</v>
      </c>
      <c r="C31" s="16">
        <v>35</v>
      </c>
      <c r="D31" s="16" t="s">
        <v>34</v>
      </c>
      <c r="E31" s="16">
        <v>11652</v>
      </c>
      <c r="F31" s="16">
        <v>44005</v>
      </c>
      <c r="G31" s="16">
        <v>22204.1</v>
      </c>
      <c r="H31" s="16">
        <v>21402</v>
      </c>
      <c r="I31" s="16">
        <v>5047.93</v>
      </c>
      <c r="J31" s="8">
        <v>13204.9</v>
      </c>
      <c r="K31" s="8">
        <v>33508.400000000001</v>
      </c>
      <c r="L31" s="9">
        <f t="shared" si="0"/>
        <v>2.4626295958824831E-3</v>
      </c>
      <c r="M31" s="9">
        <f t="shared" si="1"/>
        <v>-7.5187775506686023</v>
      </c>
      <c r="N31" s="10">
        <f t="shared" si="2"/>
        <v>47.161696259265639</v>
      </c>
      <c r="O31" s="2"/>
    </row>
    <row r="32" spans="1:15" ht="16">
      <c r="A32" s="16" t="s">
        <v>19</v>
      </c>
      <c r="B32" s="16" t="s">
        <v>36</v>
      </c>
      <c r="C32" s="16">
        <v>35</v>
      </c>
      <c r="D32" s="18" t="s">
        <v>35</v>
      </c>
      <c r="E32" s="16">
        <v>11662</v>
      </c>
      <c r="F32" s="16">
        <v>44661</v>
      </c>
      <c r="G32" s="16">
        <v>22501.4</v>
      </c>
      <c r="H32" s="16">
        <v>21709</v>
      </c>
      <c r="I32" s="16">
        <v>5236.8599999999997</v>
      </c>
      <c r="J32" s="8">
        <v>13204.9</v>
      </c>
      <c r="K32" s="8">
        <v>33508.400000000001</v>
      </c>
      <c r="L32" s="9">
        <f t="shared" si="0"/>
        <v>2.4626295958824831E-3</v>
      </c>
      <c r="M32" s="9">
        <f t="shared" si="1"/>
        <v>-7.5187775506686023</v>
      </c>
      <c r="N32" s="10">
        <f t="shared" si="2"/>
        <v>47.893836038121506</v>
      </c>
      <c r="O32" s="2"/>
    </row>
    <row r="33" spans="1:15" ht="16">
      <c r="A33" s="19" t="s">
        <v>37</v>
      </c>
      <c r="B33" s="7" t="s">
        <v>38</v>
      </c>
      <c r="C33" s="7">
        <v>50</v>
      </c>
      <c r="D33" s="7" t="s">
        <v>21</v>
      </c>
      <c r="E33" s="7">
        <v>49</v>
      </c>
      <c r="F33" s="7">
        <v>154</v>
      </c>
      <c r="G33" s="7">
        <v>78.936300000000003</v>
      </c>
      <c r="H33" s="7">
        <v>74</v>
      </c>
      <c r="I33" s="7">
        <v>21.864599999999999</v>
      </c>
      <c r="J33" s="20">
        <v>35.801099999999998</v>
      </c>
      <c r="K33" s="20">
        <v>104.416</v>
      </c>
      <c r="L33" s="9">
        <f t="shared" si="0"/>
        <v>0.72870469825067141</v>
      </c>
      <c r="M33" s="9">
        <f t="shared" si="1"/>
        <v>-1.0884297725421099</v>
      </c>
      <c r="N33" s="10">
        <f t="shared" si="2"/>
        <v>56.432822899982369</v>
      </c>
      <c r="O33" s="2"/>
    </row>
    <row r="34" spans="1:15" ht="16">
      <c r="A34" s="21" t="s">
        <v>37</v>
      </c>
      <c r="B34" s="6" t="s">
        <v>38</v>
      </c>
      <c r="C34" s="6">
        <v>50</v>
      </c>
      <c r="D34" s="6" t="s">
        <v>22</v>
      </c>
      <c r="E34" s="6">
        <v>49</v>
      </c>
      <c r="F34" s="6">
        <v>153</v>
      </c>
      <c r="G34" s="6">
        <v>76.231200000000001</v>
      </c>
      <c r="H34" s="6">
        <v>71</v>
      </c>
      <c r="I34" s="6">
        <v>20.828199999999999</v>
      </c>
      <c r="J34" s="20">
        <v>35.801099999999998</v>
      </c>
      <c r="K34" s="20">
        <v>104.416</v>
      </c>
      <c r="L34" s="22">
        <f t="shared" si="0"/>
        <v>0.72870469825067141</v>
      </c>
      <c r="M34" s="22">
        <f t="shared" si="1"/>
        <v>-1.0884297725421099</v>
      </c>
      <c r="N34" s="23">
        <f t="shared" si="2"/>
        <v>54.461603820744472</v>
      </c>
      <c r="O34" s="2"/>
    </row>
    <row r="35" spans="1:15" ht="16">
      <c r="A35" s="21" t="s">
        <v>37</v>
      </c>
      <c r="B35" s="6" t="s">
        <v>38</v>
      </c>
      <c r="C35" s="6">
        <v>50</v>
      </c>
      <c r="D35" s="6" t="s">
        <v>23</v>
      </c>
      <c r="E35" s="6">
        <v>49</v>
      </c>
      <c r="F35" s="6">
        <v>143</v>
      </c>
      <c r="G35" s="6">
        <v>73.392399999999995</v>
      </c>
      <c r="H35" s="6">
        <v>68</v>
      </c>
      <c r="I35" s="6">
        <v>18.877600000000001</v>
      </c>
      <c r="J35" s="20">
        <v>35.801099999999998</v>
      </c>
      <c r="K35" s="20">
        <v>104.416</v>
      </c>
      <c r="L35" s="22">
        <f t="shared" si="0"/>
        <v>0.72870469825067141</v>
      </c>
      <c r="M35" s="22">
        <f t="shared" si="1"/>
        <v>-1.0884297725421099</v>
      </c>
      <c r="N35" s="23">
        <f t="shared" si="2"/>
        <v>52.392956923350468</v>
      </c>
      <c r="O35" s="2"/>
    </row>
    <row r="36" spans="1:15" ht="16">
      <c r="A36" s="21" t="s">
        <v>37</v>
      </c>
      <c r="B36" s="6" t="s">
        <v>38</v>
      </c>
      <c r="C36" s="6">
        <v>50</v>
      </c>
      <c r="D36" s="6" t="s">
        <v>24</v>
      </c>
      <c r="E36" s="6">
        <v>49</v>
      </c>
      <c r="F36" s="6">
        <v>152</v>
      </c>
      <c r="G36" s="6">
        <v>73.426900000000003</v>
      </c>
      <c r="H36" s="6">
        <v>68</v>
      </c>
      <c r="I36" s="6">
        <v>18.967199999999998</v>
      </c>
      <c r="J36" s="20">
        <v>35.801099999999998</v>
      </c>
      <c r="K36" s="20">
        <v>104.416</v>
      </c>
      <c r="L36" s="22">
        <f t="shared" si="0"/>
        <v>0.72870469825067141</v>
      </c>
      <c r="M36" s="22">
        <f t="shared" si="1"/>
        <v>-1.0884297725421099</v>
      </c>
      <c r="N36" s="23">
        <f t="shared" si="2"/>
        <v>52.418097235440115</v>
      </c>
      <c r="O36" s="2"/>
    </row>
    <row r="37" spans="1:15" ht="16">
      <c r="A37" s="24" t="s">
        <v>37</v>
      </c>
      <c r="B37" s="12" t="s">
        <v>38</v>
      </c>
      <c r="C37" s="12">
        <v>50</v>
      </c>
      <c r="D37" s="12" t="s">
        <v>25</v>
      </c>
      <c r="E37" s="12">
        <v>49</v>
      </c>
      <c r="F37" s="12">
        <v>154</v>
      </c>
      <c r="G37" s="12">
        <v>74.933800000000005</v>
      </c>
      <c r="H37" s="12">
        <v>70</v>
      </c>
      <c r="I37" s="12">
        <v>19.806799999999999</v>
      </c>
      <c r="J37" s="20">
        <v>35.801099999999998</v>
      </c>
      <c r="K37" s="20">
        <v>104.416</v>
      </c>
      <c r="L37" s="25">
        <f t="shared" si="0"/>
        <v>0.72870469825067141</v>
      </c>
      <c r="M37" s="25">
        <f t="shared" si="1"/>
        <v>-1.0884297725421099</v>
      </c>
      <c r="N37" s="26">
        <f t="shared" si="2"/>
        <v>53.516182345234057</v>
      </c>
      <c r="O37" s="2"/>
    </row>
    <row r="38" spans="1:15" ht="16">
      <c r="A38" s="27" t="s">
        <v>37</v>
      </c>
      <c r="B38" s="14" t="s">
        <v>38</v>
      </c>
      <c r="C38" s="14">
        <v>50</v>
      </c>
      <c r="D38" s="14" t="s">
        <v>26</v>
      </c>
      <c r="E38" s="14">
        <v>26</v>
      </c>
      <c r="F38" s="14">
        <v>137</v>
      </c>
      <c r="G38" s="14">
        <v>60.2483</v>
      </c>
      <c r="H38" s="14">
        <v>57</v>
      </c>
      <c r="I38" s="14">
        <v>20.889600000000002</v>
      </c>
      <c r="J38" s="20">
        <v>35.801099999999998</v>
      </c>
      <c r="K38" s="20">
        <v>104.416</v>
      </c>
      <c r="L38" s="9">
        <f t="shared" si="0"/>
        <v>0.72870469825067141</v>
      </c>
      <c r="M38" s="9">
        <f t="shared" si="1"/>
        <v>-1.0884297725421099</v>
      </c>
      <c r="N38" s="10">
        <f t="shared" si="2"/>
        <v>42.814789499073811</v>
      </c>
      <c r="O38" s="2"/>
    </row>
    <row r="39" spans="1:15" ht="16">
      <c r="A39" s="28" t="s">
        <v>37</v>
      </c>
      <c r="B39" s="13" t="s">
        <v>38</v>
      </c>
      <c r="C39" s="13">
        <v>50</v>
      </c>
      <c r="D39" s="13" t="s">
        <v>27</v>
      </c>
      <c r="E39" s="13">
        <v>26</v>
      </c>
      <c r="F39" s="29">
        <v>134</v>
      </c>
      <c r="G39" s="13">
        <v>58.537999999999997</v>
      </c>
      <c r="H39" s="13">
        <v>55</v>
      </c>
      <c r="I39" s="13">
        <v>20.814900000000002</v>
      </c>
      <c r="J39" s="20">
        <v>35.801099999999998</v>
      </c>
      <c r="K39" s="20">
        <v>104.416</v>
      </c>
      <c r="L39" s="22">
        <f t="shared" si="0"/>
        <v>0.72870469825067141</v>
      </c>
      <c r="M39" s="22">
        <f t="shared" si="1"/>
        <v>-1.0884297725421099</v>
      </c>
      <c r="N39" s="23">
        <f t="shared" si="2"/>
        <v>41.568485853655687</v>
      </c>
      <c r="O39" s="2"/>
    </row>
    <row r="40" spans="1:15" ht="16">
      <c r="A40" s="28" t="s">
        <v>37</v>
      </c>
      <c r="B40" s="13" t="s">
        <v>38</v>
      </c>
      <c r="C40" s="13">
        <v>50</v>
      </c>
      <c r="D40" s="13" t="s">
        <v>28</v>
      </c>
      <c r="E40" s="13">
        <v>26</v>
      </c>
      <c r="F40" s="29">
        <v>142</v>
      </c>
      <c r="G40" s="13">
        <v>58.496000000000002</v>
      </c>
      <c r="H40" s="13">
        <v>55</v>
      </c>
      <c r="I40" s="13">
        <v>21.2394</v>
      </c>
      <c r="J40" s="20">
        <v>35.801099999999998</v>
      </c>
      <c r="K40" s="20">
        <v>104.416</v>
      </c>
      <c r="L40" s="22">
        <f t="shared" si="0"/>
        <v>0.72870469825067141</v>
      </c>
      <c r="M40" s="22">
        <f t="shared" si="1"/>
        <v>-1.0884297725421099</v>
      </c>
      <c r="N40" s="23">
        <f t="shared" si="2"/>
        <v>41.53788025632916</v>
      </c>
      <c r="O40" s="2"/>
    </row>
    <row r="41" spans="1:15" ht="16">
      <c r="A41" s="28" t="s">
        <v>37</v>
      </c>
      <c r="B41" s="13" t="s">
        <v>38</v>
      </c>
      <c r="C41" s="13">
        <v>50</v>
      </c>
      <c r="D41" s="13" t="s">
        <v>29</v>
      </c>
      <c r="E41" s="13">
        <v>26</v>
      </c>
      <c r="F41" s="13">
        <v>133</v>
      </c>
      <c r="G41" s="13">
        <v>58.883299999999998</v>
      </c>
      <c r="H41" s="13">
        <v>55</v>
      </c>
      <c r="I41" s="13">
        <v>20.328099999999999</v>
      </c>
      <c r="J41" s="20">
        <v>35.801099999999998</v>
      </c>
      <c r="K41" s="20">
        <v>104.416</v>
      </c>
      <c r="L41" s="22">
        <f t="shared" si="0"/>
        <v>0.72870469825067141</v>
      </c>
      <c r="M41" s="22">
        <f t="shared" si="1"/>
        <v>-1.0884297725421099</v>
      </c>
      <c r="N41" s="23">
        <f t="shared" si="2"/>
        <v>41.820107585961651</v>
      </c>
      <c r="O41" s="2"/>
    </row>
    <row r="42" spans="1:15" ht="16">
      <c r="A42" s="30" t="s">
        <v>37</v>
      </c>
      <c r="B42" s="15" t="s">
        <v>38</v>
      </c>
      <c r="C42" s="15">
        <v>50</v>
      </c>
      <c r="D42" s="15" t="s">
        <v>30</v>
      </c>
      <c r="E42" s="15">
        <v>26</v>
      </c>
      <c r="F42" s="15">
        <v>133</v>
      </c>
      <c r="G42" s="15">
        <v>59.6066</v>
      </c>
      <c r="H42" s="15">
        <v>56</v>
      </c>
      <c r="I42" s="15">
        <v>20.392800000000001</v>
      </c>
      <c r="J42" s="20">
        <v>35.801099999999998</v>
      </c>
      <c r="K42" s="20">
        <v>104.416</v>
      </c>
      <c r="L42" s="25">
        <f t="shared" si="0"/>
        <v>0.72870469825067141</v>
      </c>
      <c r="M42" s="25">
        <f t="shared" si="1"/>
        <v>-1.0884297725421099</v>
      </c>
      <c r="N42" s="26">
        <f t="shared" si="2"/>
        <v>42.347179694206361</v>
      </c>
      <c r="O42" s="2"/>
    </row>
    <row r="43" spans="1:15" ht="16">
      <c r="A43" s="31" t="s">
        <v>37</v>
      </c>
      <c r="B43" s="17" t="s">
        <v>38</v>
      </c>
      <c r="C43" s="17">
        <v>50</v>
      </c>
      <c r="D43" s="17" t="s">
        <v>31</v>
      </c>
      <c r="E43" s="17">
        <v>56</v>
      </c>
      <c r="F43" s="17">
        <v>152</v>
      </c>
      <c r="G43" s="17">
        <v>86.0047</v>
      </c>
      <c r="H43" s="17">
        <v>83</v>
      </c>
      <c r="I43" s="17">
        <v>20.205400000000001</v>
      </c>
      <c r="J43" s="20">
        <v>35.801099999999998</v>
      </c>
      <c r="K43" s="20">
        <v>104.416</v>
      </c>
      <c r="L43" s="9">
        <f t="shared" si="0"/>
        <v>0.72870469825067141</v>
      </c>
      <c r="M43" s="9">
        <f t="shared" si="1"/>
        <v>-1.0884297725421099</v>
      </c>
      <c r="N43" s="10">
        <f t="shared" si="2"/>
        <v>61.583599189097413</v>
      </c>
      <c r="O43" s="2"/>
    </row>
    <row r="44" spans="1:15" ht="16">
      <c r="A44" s="32" t="s">
        <v>37</v>
      </c>
      <c r="B44" s="16" t="s">
        <v>38</v>
      </c>
      <c r="C44" s="16">
        <v>50</v>
      </c>
      <c r="D44" s="16" t="s">
        <v>32</v>
      </c>
      <c r="E44" s="16">
        <v>40</v>
      </c>
      <c r="F44" s="16">
        <v>162</v>
      </c>
      <c r="G44" s="16">
        <v>86.606099999999998</v>
      </c>
      <c r="H44" s="16">
        <v>83</v>
      </c>
      <c r="I44" s="16">
        <v>21.356200000000001</v>
      </c>
      <c r="J44" s="20">
        <v>35.801099999999998</v>
      </c>
      <c r="K44" s="20">
        <v>104.416</v>
      </c>
      <c r="L44" s="22">
        <f t="shared" si="0"/>
        <v>0.72870469825067141</v>
      </c>
      <c r="M44" s="22">
        <f t="shared" si="1"/>
        <v>-1.0884297725421099</v>
      </c>
      <c r="N44" s="23">
        <f t="shared" si="2"/>
        <v>62.021842194625364</v>
      </c>
      <c r="O44" s="2"/>
    </row>
    <row r="45" spans="1:15" ht="16">
      <c r="A45" s="32" t="s">
        <v>37</v>
      </c>
      <c r="B45" s="16" t="s">
        <v>38</v>
      </c>
      <c r="C45" s="16">
        <v>50</v>
      </c>
      <c r="D45" s="16" t="s">
        <v>33</v>
      </c>
      <c r="E45" s="16">
        <v>40</v>
      </c>
      <c r="F45" s="16">
        <v>158</v>
      </c>
      <c r="G45" s="16">
        <v>86.653599999999997</v>
      </c>
      <c r="H45" s="16">
        <v>83</v>
      </c>
      <c r="I45" s="16">
        <v>22.2681</v>
      </c>
      <c r="J45" s="20">
        <v>35.801099999999998</v>
      </c>
      <c r="K45" s="20">
        <v>104.416</v>
      </c>
      <c r="L45" s="22">
        <f t="shared" si="0"/>
        <v>0.72870469825067141</v>
      </c>
      <c r="M45" s="22">
        <f t="shared" si="1"/>
        <v>-1.0884297725421099</v>
      </c>
      <c r="N45" s="23">
        <f t="shared" si="2"/>
        <v>62.056455667792264</v>
      </c>
      <c r="O45" s="2"/>
    </row>
    <row r="46" spans="1:15" ht="16">
      <c r="A46" s="32" t="s">
        <v>37</v>
      </c>
      <c r="B46" s="16" t="s">
        <v>38</v>
      </c>
      <c r="C46" s="16">
        <v>50</v>
      </c>
      <c r="D46" s="16" t="s">
        <v>34</v>
      </c>
      <c r="E46" s="16">
        <v>40</v>
      </c>
      <c r="F46" s="16">
        <v>169</v>
      </c>
      <c r="G46" s="16">
        <v>86.352699999999999</v>
      </c>
      <c r="H46" s="16">
        <v>83</v>
      </c>
      <c r="I46" s="16">
        <v>23.172899999999998</v>
      </c>
      <c r="J46" s="20">
        <v>35.801099999999998</v>
      </c>
      <c r="K46" s="20">
        <v>104.416</v>
      </c>
      <c r="L46" s="22">
        <f t="shared" si="0"/>
        <v>0.72870469825067141</v>
      </c>
      <c r="M46" s="22">
        <f t="shared" si="1"/>
        <v>-1.0884297725421099</v>
      </c>
      <c r="N46" s="23">
        <f t="shared" si="2"/>
        <v>61.837188424088637</v>
      </c>
      <c r="O46" s="2"/>
    </row>
    <row r="47" spans="1:15" ht="16">
      <c r="A47" s="33" t="s">
        <v>37</v>
      </c>
      <c r="B47" s="18" t="s">
        <v>38</v>
      </c>
      <c r="C47" s="18">
        <v>50</v>
      </c>
      <c r="D47" s="18" t="s">
        <v>35</v>
      </c>
      <c r="E47" s="18">
        <v>40</v>
      </c>
      <c r="F47" s="18">
        <v>165</v>
      </c>
      <c r="G47" s="18">
        <v>84.662700000000001</v>
      </c>
      <c r="H47" s="18">
        <v>81</v>
      </c>
      <c r="I47" s="18">
        <v>24.965299999999999</v>
      </c>
      <c r="J47" s="20">
        <v>35.801099999999998</v>
      </c>
      <c r="K47" s="20">
        <v>104.416</v>
      </c>
      <c r="L47" s="25">
        <f t="shared" si="0"/>
        <v>0.72870469825067141</v>
      </c>
      <c r="M47" s="25">
        <f t="shared" si="1"/>
        <v>-1.0884297725421099</v>
      </c>
      <c r="N47" s="26">
        <f t="shared" si="2"/>
        <v>60.605677484045003</v>
      </c>
      <c r="O47" s="2"/>
    </row>
    <row r="48" spans="1:15" ht="16">
      <c r="A48" s="19" t="s">
        <v>37</v>
      </c>
      <c r="B48" s="7" t="s">
        <v>20</v>
      </c>
      <c r="C48" s="7">
        <v>50</v>
      </c>
      <c r="D48" s="7" t="s">
        <v>21</v>
      </c>
      <c r="E48" s="7">
        <v>32</v>
      </c>
      <c r="F48" s="7">
        <v>175</v>
      </c>
      <c r="G48" s="7">
        <v>75.875</v>
      </c>
      <c r="H48" s="7">
        <v>72</v>
      </c>
      <c r="I48" s="7">
        <v>28.6007</v>
      </c>
      <c r="J48" s="20">
        <v>35.801099999999998</v>
      </c>
      <c r="K48" s="20">
        <v>104.416</v>
      </c>
      <c r="L48" s="9">
        <f t="shared" si="0"/>
        <v>0.72870469825067141</v>
      </c>
      <c r="M48" s="9">
        <f t="shared" si="1"/>
        <v>-1.0884297725421099</v>
      </c>
      <c r="N48" s="10">
        <f t="shared" si="2"/>
        <v>54.202039207227585</v>
      </c>
      <c r="O48" s="2"/>
    </row>
    <row r="49" spans="1:15" ht="16">
      <c r="A49" s="21" t="s">
        <v>37</v>
      </c>
      <c r="B49" s="6" t="s">
        <v>20</v>
      </c>
      <c r="C49" s="6">
        <v>50</v>
      </c>
      <c r="D49" s="6" t="s">
        <v>22</v>
      </c>
      <c r="E49" s="6">
        <v>32</v>
      </c>
      <c r="F49" s="6">
        <v>176</v>
      </c>
      <c r="G49" s="6">
        <v>71.676400000000001</v>
      </c>
      <c r="H49" s="6">
        <v>66</v>
      </c>
      <c r="I49" s="6">
        <v>28.640599999999999</v>
      </c>
      <c r="J49" s="20">
        <v>35.801099999999998</v>
      </c>
      <c r="K49" s="20">
        <v>104.416</v>
      </c>
      <c r="L49" s="22">
        <f t="shared" si="0"/>
        <v>0.72870469825067141</v>
      </c>
      <c r="M49" s="22">
        <f t="shared" si="1"/>
        <v>-1.0884297725421099</v>
      </c>
      <c r="N49" s="23">
        <f t="shared" si="2"/>
        <v>51.142499661152314</v>
      </c>
      <c r="O49" s="2"/>
    </row>
    <row r="50" spans="1:15" ht="16">
      <c r="A50" s="21" t="s">
        <v>37</v>
      </c>
      <c r="B50" s="6" t="s">
        <v>20</v>
      </c>
      <c r="C50" s="6">
        <v>50</v>
      </c>
      <c r="D50" s="6" t="s">
        <v>23</v>
      </c>
      <c r="E50" s="6">
        <v>32</v>
      </c>
      <c r="F50" s="6">
        <v>155</v>
      </c>
      <c r="G50" s="6">
        <v>72.230800000000002</v>
      </c>
      <c r="H50" s="6">
        <v>68</v>
      </c>
      <c r="I50" s="6">
        <v>26.300999999999998</v>
      </c>
      <c r="J50" s="20">
        <v>35.801099999999998</v>
      </c>
      <c r="K50" s="20">
        <v>104.416</v>
      </c>
      <c r="L50" s="22">
        <f t="shared" si="0"/>
        <v>0.72870469825067141</v>
      </c>
      <c r="M50" s="22">
        <f t="shared" si="1"/>
        <v>-1.0884297725421099</v>
      </c>
      <c r="N50" s="23">
        <f t="shared" si="2"/>
        <v>51.546493545862489</v>
      </c>
      <c r="O50" s="2"/>
    </row>
    <row r="51" spans="1:15" ht="16">
      <c r="A51" s="21" t="s">
        <v>37</v>
      </c>
      <c r="B51" s="6" t="s">
        <v>20</v>
      </c>
      <c r="C51" s="6">
        <v>50</v>
      </c>
      <c r="D51" s="6" t="s">
        <v>24</v>
      </c>
      <c r="E51" s="6">
        <v>32</v>
      </c>
      <c r="F51" s="6">
        <v>157</v>
      </c>
      <c r="G51" s="6">
        <v>69.712999999999994</v>
      </c>
      <c r="H51" s="6">
        <v>65</v>
      </c>
      <c r="I51" s="6">
        <v>25.800599999999999</v>
      </c>
      <c r="J51" s="20">
        <v>35.801099999999998</v>
      </c>
      <c r="K51" s="20">
        <v>104.416</v>
      </c>
      <c r="L51" s="22">
        <f t="shared" si="0"/>
        <v>0.72870469825067141</v>
      </c>
      <c r="M51" s="22">
        <f t="shared" si="1"/>
        <v>-1.0884297725421099</v>
      </c>
      <c r="N51" s="23">
        <f t="shared" si="2"/>
        <v>49.711760856606944</v>
      </c>
      <c r="O51" s="2"/>
    </row>
    <row r="52" spans="1:15" ht="16">
      <c r="A52" s="24" t="s">
        <v>37</v>
      </c>
      <c r="B52" s="12" t="s">
        <v>20</v>
      </c>
      <c r="C52" s="12">
        <v>50</v>
      </c>
      <c r="D52" s="12" t="s">
        <v>25</v>
      </c>
      <c r="E52" s="12">
        <v>32</v>
      </c>
      <c r="F52" s="12">
        <v>152</v>
      </c>
      <c r="G52" s="12">
        <v>69.317400000000006</v>
      </c>
      <c r="H52" s="12">
        <v>66</v>
      </c>
      <c r="I52" s="12">
        <v>24.895299999999999</v>
      </c>
      <c r="J52" s="20">
        <v>35.801099999999998</v>
      </c>
      <c r="K52" s="20">
        <v>104.416</v>
      </c>
      <c r="L52" s="25">
        <f t="shared" si="0"/>
        <v>0.72870469825067141</v>
      </c>
      <c r="M52" s="25">
        <f t="shared" si="1"/>
        <v>-1.0884297725421099</v>
      </c>
      <c r="N52" s="26">
        <f t="shared" si="2"/>
        <v>49.423485277978983</v>
      </c>
      <c r="O52" s="2"/>
    </row>
    <row r="53" spans="1:15" ht="16">
      <c r="A53" s="27" t="s">
        <v>37</v>
      </c>
      <c r="B53" s="14" t="s">
        <v>20</v>
      </c>
      <c r="C53" s="14">
        <v>50</v>
      </c>
      <c r="D53" s="14" t="s">
        <v>26</v>
      </c>
      <c r="E53" s="14">
        <v>26</v>
      </c>
      <c r="F53" s="14">
        <v>127</v>
      </c>
      <c r="G53" s="14">
        <v>58.555300000000003</v>
      </c>
      <c r="H53" s="14">
        <v>57</v>
      </c>
      <c r="I53" s="14">
        <v>19.144200000000001</v>
      </c>
      <c r="J53" s="20">
        <v>35.801099999999998</v>
      </c>
      <c r="K53" s="20">
        <v>104.416</v>
      </c>
      <c r="L53" s="9">
        <f t="shared" si="0"/>
        <v>0.72870469825067141</v>
      </c>
      <c r="M53" s="9">
        <f t="shared" si="1"/>
        <v>-1.0884297725421099</v>
      </c>
      <c r="N53" s="10">
        <f t="shared" si="2"/>
        <v>41.581092444935436</v>
      </c>
      <c r="O53" s="2"/>
    </row>
    <row r="54" spans="1:15" ht="16">
      <c r="A54" s="28" t="s">
        <v>37</v>
      </c>
      <c r="B54" s="13" t="s">
        <v>20</v>
      </c>
      <c r="C54" s="13">
        <v>50</v>
      </c>
      <c r="D54" s="13" t="s">
        <v>27</v>
      </c>
      <c r="E54" s="13">
        <v>26</v>
      </c>
      <c r="F54" s="13">
        <v>136</v>
      </c>
      <c r="G54" s="13">
        <v>55.970500000000001</v>
      </c>
      <c r="H54" s="13">
        <v>54</v>
      </c>
      <c r="I54" s="13">
        <v>19.997499999999999</v>
      </c>
      <c r="J54" s="20">
        <v>35.801099999999998</v>
      </c>
      <c r="K54" s="20">
        <v>104.416</v>
      </c>
      <c r="L54" s="22">
        <f t="shared" si="0"/>
        <v>0.72870469825067141</v>
      </c>
      <c r="M54" s="22">
        <f t="shared" si="1"/>
        <v>-1.0884297725421099</v>
      </c>
      <c r="N54" s="23">
        <f t="shared" si="2"/>
        <v>39.69753654089709</v>
      </c>
      <c r="O54" s="2"/>
    </row>
    <row r="55" spans="1:15" ht="16">
      <c r="A55" s="28" t="s">
        <v>37</v>
      </c>
      <c r="B55" s="13" t="s">
        <v>20</v>
      </c>
      <c r="C55" s="13">
        <v>50</v>
      </c>
      <c r="D55" s="13" t="s">
        <v>28</v>
      </c>
      <c r="E55" s="13">
        <v>26</v>
      </c>
      <c r="F55" s="13">
        <v>136</v>
      </c>
      <c r="G55" s="13">
        <v>58.898600000000002</v>
      </c>
      <c r="H55" s="13">
        <v>57</v>
      </c>
      <c r="I55" s="13">
        <v>20.121099999999998</v>
      </c>
      <c r="J55" s="20">
        <v>35.801099999999998</v>
      </c>
      <c r="K55" s="20">
        <v>104.416</v>
      </c>
      <c r="L55" s="22">
        <f t="shared" si="0"/>
        <v>0.72870469825067141</v>
      </c>
      <c r="M55" s="22">
        <f t="shared" si="1"/>
        <v>-1.0884297725421099</v>
      </c>
      <c r="N55" s="23">
        <f t="shared" si="2"/>
        <v>41.831256767844891</v>
      </c>
      <c r="O55" s="2"/>
    </row>
    <row r="56" spans="1:15" ht="16">
      <c r="A56" s="28" t="s">
        <v>37</v>
      </c>
      <c r="B56" s="13" t="s">
        <v>20</v>
      </c>
      <c r="C56" s="13">
        <v>50</v>
      </c>
      <c r="D56" s="13" t="s">
        <v>29</v>
      </c>
      <c r="E56" s="13">
        <v>26</v>
      </c>
      <c r="F56" s="13">
        <v>140</v>
      </c>
      <c r="G56" s="13">
        <v>59.889099999999999</v>
      </c>
      <c r="H56" s="13">
        <v>58</v>
      </c>
      <c r="I56" s="13">
        <v>19.960100000000001</v>
      </c>
      <c r="J56" s="20">
        <v>35.801099999999998</v>
      </c>
      <c r="K56" s="20">
        <v>104.416</v>
      </c>
      <c r="L56" s="22">
        <f t="shared" si="0"/>
        <v>0.72870469825067141</v>
      </c>
      <c r="M56" s="22">
        <f t="shared" si="1"/>
        <v>-1.0884297725421099</v>
      </c>
      <c r="N56" s="23">
        <f t="shared" si="2"/>
        <v>42.55303877146217</v>
      </c>
      <c r="O56" s="2"/>
    </row>
    <row r="57" spans="1:15" ht="16">
      <c r="A57" s="30" t="s">
        <v>37</v>
      </c>
      <c r="B57" s="15" t="s">
        <v>20</v>
      </c>
      <c r="C57" s="15">
        <v>50</v>
      </c>
      <c r="D57" s="15" t="s">
        <v>30</v>
      </c>
      <c r="E57" s="15">
        <v>26</v>
      </c>
      <c r="F57" s="15">
        <v>136</v>
      </c>
      <c r="G57" s="15">
        <v>61.370699999999999</v>
      </c>
      <c r="H57" s="15">
        <v>59</v>
      </c>
      <c r="I57" s="15">
        <v>20.422000000000001</v>
      </c>
      <c r="J57" s="20">
        <v>35.801099999999998</v>
      </c>
      <c r="K57" s="20">
        <v>104.416</v>
      </c>
      <c r="L57" s="25">
        <f t="shared" si="0"/>
        <v>0.72870469825067141</v>
      </c>
      <c r="M57" s="25">
        <f t="shared" si="1"/>
        <v>-1.0884297725421099</v>
      </c>
      <c r="N57" s="26">
        <f t="shared" si="2"/>
        <v>43.632687652390374</v>
      </c>
    </row>
    <row r="58" spans="1:15" ht="16">
      <c r="A58" s="31" t="s">
        <v>37</v>
      </c>
      <c r="B58" s="17" t="s">
        <v>20</v>
      </c>
      <c r="C58" s="17">
        <v>50</v>
      </c>
      <c r="D58" s="17" t="s">
        <v>31</v>
      </c>
      <c r="E58" s="17">
        <v>64</v>
      </c>
      <c r="F58" s="17">
        <v>168</v>
      </c>
      <c r="G58" s="17">
        <v>97.709699999999998</v>
      </c>
      <c r="H58" s="17">
        <v>94</v>
      </c>
      <c r="I58" s="17">
        <v>23.119</v>
      </c>
      <c r="J58" s="20">
        <v>35.801099999999998</v>
      </c>
      <c r="K58" s="20">
        <v>104.416</v>
      </c>
      <c r="L58" s="9">
        <f t="shared" si="0"/>
        <v>0.72870469825067141</v>
      </c>
      <c r="M58" s="9">
        <f t="shared" si="1"/>
        <v>-1.0884297725421099</v>
      </c>
      <c r="N58" s="10">
        <f t="shared" si="2"/>
        <v>70.113087682121517</v>
      </c>
    </row>
    <row r="59" spans="1:15" ht="16">
      <c r="A59" s="32" t="s">
        <v>37</v>
      </c>
      <c r="B59" s="16" t="s">
        <v>20</v>
      </c>
      <c r="C59" s="16">
        <v>50</v>
      </c>
      <c r="D59" s="16" t="s">
        <v>32</v>
      </c>
      <c r="E59" s="16">
        <v>64</v>
      </c>
      <c r="F59" s="16">
        <v>162</v>
      </c>
      <c r="G59" s="16">
        <v>95.227199999999996</v>
      </c>
      <c r="H59" s="16">
        <v>92</v>
      </c>
      <c r="I59" s="16">
        <v>21.343599999999999</v>
      </c>
      <c r="J59" s="20">
        <v>35.801099999999998</v>
      </c>
      <c r="K59" s="20">
        <v>104.416</v>
      </c>
      <c r="L59" s="22">
        <f t="shared" si="0"/>
        <v>0.72870469825067141</v>
      </c>
      <c r="M59" s="22">
        <f t="shared" si="1"/>
        <v>-1.0884297725421099</v>
      </c>
      <c r="N59" s="23">
        <f t="shared" si="2"/>
        <v>68.304078268714221</v>
      </c>
    </row>
    <row r="60" spans="1:15" ht="16">
      <c r="A60" s="32" t="s">
        <v>37</v>
      </c>
      <c r="B60" s="16" t="s">
        <v>20</v>
      </c>
      <c r="C60" s="16">
        <v>50</v>
      </c>
      <c r="D60" s="16" t="s">
        <v>33</v>
      </c>
      <c r="E60" s="16">
        <v>64</v>
      </c>
      <c r="F60" s="16">
        <v>158</v>
      </c>
      <c r="G60" s="16">
        <v>94.023600000000002</v>
      </c>
      <c r="H60" s="16">
        <v>91</v>
      </c>
      <c r="I60" s="16">
        <v>20.124500000000001</v>
      </c>
      <c r="J60" s="20">
        <v>35.801099999999998</v>
      </c>
      <c r="K60" s="20">
        <v>104.416</v>
      </c>
      <c r="L60" s="22">
        <f t="shared" si="0"/>
        <v>0.72870469825067141</v>
      </c>
      <c r="M60" s="22">
        <f t="shared" si="1"/>
        <v>-1.0884297725421099</v>
      </c>
      <c r="N60" s="23">
        <f t="shared" si="2"/>
        <v>67.427009293899715</v>
      </c>
    </row>
    <row r="61" spans="1:15" ht="16">
      <c r="A61" s="32" t="s">
        <v>37</v>
      </c>
      <c r="B61" s="16" t="s">
        <v>20</v>
      </c>
      <c r="C61" s="16">
        <v>50</v>
      </c>
      <c r="D61" s="16" t="s">
        <v>34</v>
      </c>
      <c r="E61" s="16">
        <v>64</v>
      </c>
      <c r="F61" s="16">
        <v>163</v>
      </c>
      <c r="G61" s="16">
        <v>95.059399999999997</v>
      </c>
      <c r="H61" s="16">
        <v>92</v>
      </c>
      <c r="I61" s="16">
        <v>20.759799999999998</v>
      </c>
      <c r="J61" s="20">
        <v>35.801099999999998</v>
      </c>
      <c r="K61" s="20">
        <v>104.416</v>
      </c>
      <c r="L61" s="22">
        <f t="shared" si="0"/>
        <v>0.72870469825067141</v>
      </c>
      <c r="M61" s="22">
        <f t="shared" si="1"/>
        <v>-1.0884297725421099</v>
      </c>
      <c r="N61" s="23">
        <f t="shared" si="2"/>
        <v>68.181801620347755</v>
      </c>
    </row>
    <row r="62" spans="1:15" ht="16">
      <c r="A62" s="33" t="s">
        <v>37</v>
      </c>
      <c r="B62" s="18" t="s">
        <v>20</v>
      </c>
      <c r="C62" s="18">
        <v>50</v>
      </c>
      <c r="D62" s="18" t="s">
        <v>35</v>
      </c>
      <c r="E62" s="18">
        <v>64</v>
      </c>
      <c r="F62" s="18">
        <v>158</v>
      </c>
      <c r="G62" s="18">
        <v>97.760599999999997</v>
      </c>
      <c r="H62" s="18">
        <v>95</v>
      </c>
      <c r="I62" s="18">
        <v>22.267199999999999</v>
      </c>
      <c r="J62" s="20">
        <v>35.801099999999998</v>
      </c>
      <c r="K62" s="20">
        <v>104.416</v>
      </c>
      <c r="L62" s="25">
        <f t="shared" si="0"/>
        <v>0.72870469825067141</v>
      </c>
      <c r="M62" s="25">
        <f t="shared" si="1"/>
        <v>-1.0884297725421099</v>
      </c>
      <c r="N62" s="26">
        <f t="shared" si="2"/>
        <v>70.150178751262473</v>
      </c>
    </row>
    <row r="63" spans="1:15" ht="16">
      <c r="A63" s="6" t="s">
        <v>39</v>
      </c>
      <c r="B63" s="6" t="s">
        <v>20</v>
      </c>
      <c r="C63" s="6">
        <v>59</v>
      </c>
      <c r="D63" s="6" t="s">
        <v>40</v>
      </c>
      <c r="E63" s="6">
        <v>59</v>
      </c>
      <c r="F63" s="6">
        <v>184</v>
      </c>
      <c r="G63" s="6">
        <v>96.745199999999997</v>
      </c>
      <c r="H63" s="6">
        <v>91</v>
      </c>
      <c r="I63" s="6">
        <v>27.273700000000002</v>
      </c>
      <c r="J63" s="8">
        <v>53.865600000000001</v>
      </c>
      <c r="K63" s="8">
        <v>177.381</v>
      </c>
      <c r="L63" s="22">
        <f t="shared" si="0"/>
        <v>0.40480782153480455</v>
      </c>
      <c r="M63" s="22">
        <f t="shared" si="1"/>
        <v>3.194783808334833</v>
      </c>
      <c r="N63" s="22">
        <f t="shared" si="2"/>
        <v>42.357997464283805</v>
      </c>
    </row>
    <row r="64" spans="1:15" ht="16">
      <c r="A64" s="6" t="s">
        <v>39</v>
      </c>
      <c r="B64" s="6" t="s">
        <v>20</v>
      </c>
      <c r="C64" s="34">
        <v>59</v>
      </c>
      <c r="D64" s="6" t="s">
        <v>22</v>
      </c>
      <c r="E64" s="6">
        <v>59</v>
      </c>
      <c r="F64" s="6">
        <v>188</v>
      </c>
      <c r="G64" s="6">
        <v>93.006399999999999</v>
      </c>
      <c r="H64" s="6">
        <v>87</v>
      </c>
      <c r="I64" s="6">
        <v>25.4466</v>
      </c>
      <c r="J64" s="8">
        <v>53.865600000000001</v>
      </c>
      <c r="K64" s="8">
        <v>177.381</v>
      </c>
      <c r="L64" s="22">
        <f t="shared" si="0"/>
        <v>0.40480782153480455</v>
      </c>
      <c r="M64" s="22">
        <f t="shared" si="1"/>
        <v>3.194783808334833</v>
      </c>
      <c r="N64" s="22">
        <f t="shared" si="2"/>
        <v>40.844501981129476</v>
      </c>
    </row>
    <row r="65" spans="1:14" ht="16">
      <c r="A65" s="6" t="s">
        <v>39</v>
      </c>
      <c r="B65" s="6" t="s">
        <v>20</v>
      </c>
      <c r="C65" s="34">
        <v>59</v>
      </c>
      <c r="D65" s="6" t="s">
        <v>23</v>
      </c>
      <c r="E65" s="6">
        <v>59</v>
      </c>
      <c r="F65" s="6">
        <v>193</v>
      </c>
      <c r="G65" s="6">
        <v>88.121399999999994</v>
      </c>
      <c r="H65" s="6">
        <v>82</v>
      </c>
      <c r="I65" s="6">
        <v>23.455300000000001</v>
      </c>
      <c r="J65" s="8">
        <v>53.865600000000001</v>
      </c>
      <c r="K65" s="8">
        <v>177.381</v>
      </c>
      <c r="L65" s="22">
        <f t="shared" si="0"/>
        <v>0.40480782153480455</v>
      </c>
      <c r="M65" s="22">
        <f t="shared" si="1"/>
        <v>3.194783808334833</v>
      </c>
      <c r="N65" s="22">
        <f t="shared" si="2"/>
        <v>38.867015772931957</v>
      </c>
    </row>
    <row r="66" spans="1:14" ht="16">
      <c r="A66" s="6" t="s">
        <v>39</v>
      </c>
      <c r="B66" s="6" t="s">
        <v>20</v>
      </c>
      <c r="C66" s="34">
        <v>59</v>
      </c>
      <c r="D66" s="6" t="s">
        <v>24</v>
      </c>
      <c r="E66" s="6">
        <v>54</v>
      </c>
      <c r="F66" s="6">
        <v>183</v>
      </c>
      <c r="G66" s="6">
        <v>87.575900000000004</v>
      </c>
      <c r="H66" s="6">
        <v>81</v>
      </c>
      <c r="I66" s="6">
        <v>22.688400000000001</v>
      </c>
      <c r="J66" s="8">
        <v>53.865600000000001</v>
      </c>
      <c r="K66" s="8">
        <v>177.381</v>
      </c>
      <c r="L66" s="22">
        <f t="shared" si="0"/>
        <v>0.40480782153480455</v>
      </c>
      <c r="M66" s="22">
        <f t="shared" si="1"/>
        <v>3.194783808334833</v>
      </c>
      <c r="N66" s="22">
        <f t="shared" si="2"/>
        <v>38.646193106284727</v>
      </c>
    </row>
    <row r="67" spans="1:14" ht="16">
      <c r="A67" s="6" t="s">
        <v>39</v>
      </c>
      <c r="B67" s="6" t="s">
        <v>20</v>
      </c>
      <c r="C67" s="34">
        <v>59</v>
      </c>
      <c r="D67" s="6" t="s">
        <v>25</v>
      </c>
      <c r="E67" s="6">
        <v>59</v>
      </c>
      <c r="F67" s="6">
        <v>156</v>
      </c>
      <c r="G67" s="6">
        <v>85.928899999999999</v>
      </c>
      <c r="H67" s="6">
        <v>80</v>
      </c>
      <c r="I67" s="6">
        <v>21.301300000000001</v>
      </c>
      <c r="J67" s="8">
        <v>53.865600000000001</v>
      </c>
      <c r="K67" s="8">
        <v>177.381</v>
      </c>
      <c r="L67" s="22">
        <f t="shared" si="0"/>
        <v>0.40480782153480455</v>
      </c>
      <c r="M67" s="22">
        <f t="shared" si="1"/>
        <v>3.194783808334833</v>
      </c>
      <c r="N67" s="22">
        <f t="shared" si="2"/>
        <v>37.979474624216898</v>
      </c>
    </row>
    <row r="68" spans="1:14" ht="16">
      <c r="A68" s="13" t="s">
        <v>39</v>
      </c>
      <c r="B68" s="13" t="s">
        <v>20</v>
      </c>
      <c r="C68" s="35">
        <v>59</v>
      </c>
      <c r="D68" s="13" t="s">
        <v>26</v>
      </c>
      <c r="E68" s="13">
        <v>27</v>
      </c>
      <c r="F68" s="13">
        <v>127</v>
      </c>
      <c r="G68" s="13">
        <v>66.040199999999999</v>
      </c>
      <c r="H68" s="13">
        <v>62</v>
      </c>
      <c r="I68" s="13">
        <v>15.1495</v>
      </c>
      <c r="J68" s="8">
        <v>53.865600000000001</v>
      </c>
      <c r="K68" s="8">
        <v>177.381</v>
      </c>
      <c r="L68" s="22">
        <f t="shared" si="0"/>
        <v>0.40480782153480455</v>
      </c>
      <c r="M68" s="22">
        <f t="shared" si="1"/>
        <v>3.194783808334833</v>
      </c>
      <c r="N68" s="22">
        <f t="shared" si="2"/>
        <v>29.928373304057633</v>
      </c>
    </row>
    <row r="69" spans="1:14" ht="16">
      <c r="A69" s="13" t="s">
        <v>39</v>
      </c>
      <c r="B69" s="13" t="s">
        <v>20</v>
      </c>
      <c r="C69" s="35">
        <v>59</v>
      </c>
      <c r="D69" s="13" t="s">
        <v>27</v>
      </c>
      <c r="E69" s="13">
        <v>46</v>
      </c>
      <c r="F69" s="13">
        <v>123</v>
      </c>
      <c r="G69" s="13">
        <v>66.361099999999993</v>
      </c>
      <c r="H69" s="13">
        <v>63</v>
      </c>
      <c r="I69" s="13">
        <v>15.320499999999999</v>
      </c>
      <c r="J69" s="8">
        <v>53.865600000000001</v>
      </c>
      <c r="K69" s="8">
        <v>177.381</v>
      </c>
      <c r="L69" s="22">
        <f t="shared" si="0"/>
        <v>0.40480782153480455</v>
      </c>
      <c r="M69" s="22">
        <f t="shared" si="1"/>
        <v>3.194783808334833</v>
      </c>
      <c r="N69" s="22">
        <f t="shared" si="2"/>
        <v>30.058276133988148</v>
      </c>
    </row>
    <row r="70" spans="1:14" ht="16">
      <c r="A70" s="13" t="s">
        <v>39</v>
      </c>
      <c r="B70" s="13" t="s">
        <v>20</v>
      </c>
      <c r="C70" s="35">
        <v>59</v>
      </c>
      <c r="D70" s="13" t="s">
        <v>28</v>
      </c>
      <c r="E70" s="13">
        <v>35</v>
      </c>
      <c r="F70" s="13">
        <v>127</v>
      </c>
      <c r="G70" s="13">
        <v>66.387900000000002</v>
      </c>
      <c r="H70" s="13">
        <v>62</v>
      </c>
      <c r="I70" s="13">
        <v>15.9198</v>
      </c>
      <c r="J70" s="8">
        <v>53.865600000000001</v>
      </c>
      <c r="K70" s="8">
        <v>177.381</v>
      </c>
      <c r="L70" s="22">
        <f t="shared" si="0"/>
        <v>0.40480782153480455</v>
      </c>
      <c r="M70" s="22">
        <f t="shared" si="1"/>
        <v>3.194783808334833</v>
      </c>
      <c r="N70" s="22">
        <f t="shared" si="2"/>
        <v>30.069124983605285</v>
      </c>
    </row>
    <row r="71" spans="1:14" ht="16">
      <c r="A71" s="13" t="s">
        <v>39</v>
      </c>
      <c r="B71" s="13" t="s">
        <v>20</v>
      </c>
      <c r="C71" s="35">
        <v>59</v>
      </c>
      <c r="D71" s="13" t="s">
        <v>29</v>
      </c>
      <c r="E71" s="13">
        <v>46</v>
      </c>
      <c r="F71" s="13">
        <v>133</v>
      </c>
      <c r="G71" s="13">
        <v>68.141900000000007</v>
      </c>
      <c r="H71" s="13">
        <v>64</v>
      </c>
      <c r="I71" s="13">
        <v>16.8597</v>
      </c>
      <c r="J71" s="8">
        <v>53.865600000000001</v>
      </c>
      <c r="K71" s="8">
        <v>177.381</v>
      </c>
      <c r="L71" s="22">
        <f t="shared" si="0"/>
        <v>0.40480782153480455</v>
      </c>
      <c r="M71" s="22">
        <f t="shared" si="1"/>
        <v>3.194783808334833</v>
      </c>
      <c r="N71" s="22">
        <f t="shared" si="2"/>
        <v>30.779157902577335</v>
      </c>
    </row>
    <row r="72" spans="1:14" ht="16">
      <c r="A72" s="13" t="s">
        <v>39</v>
      </c>
      <c r="B72" s="13" t="s">
        <v>20</v>
      </c>
      <c r="C72" s="35">
        <v>59</v>
      </c>
      <c r="D72" s="13" t="s">
        <v>30</v>
      </c>
      <c r="E72" s="13">
        <v>32</v>
      </c>
      <c r="F72" s="13">
        <v>148</v>
      </c>
      <c r="G72" s="13">
        <v>68.628799999999998</v>
      </c>
      <c r="H72" s="13">
        <v>64</v>
      </c>
      <c r="I72" s="13">
        <v>17.571899999999999</v>
      </c>
      <c r="J72" s="8">
        <v>53.865600000000001</v>
      </c>
      <c r="K72" s="8">
        <v>177.381</v>
      </c>
      <c r="L72" s="22">
        <f t="shared" si="0"/>
        <v>0.40480782153480455</v>
      </c>
      <c r="M72" s="22">
        <f t="shared" si="1"/>
        <v>3.194783808334833</v>
      </c>
      <c r="N72" s="22">
        <f t="shared" si="2"/>
        <v>30.976258830882628</v>
      </c>
    </row>
    <row r="73" spans="1:14" ht="16">
      <c r="A73" s="36" t="s">
        <v>39</v>
      </c>
      <c r="B73" s="36" t="s">
        <v>20</v>
      </c>
      <c r="C73" s="37">
        <v>59</v>
      </c>
      <c r="D73" s="36" t="s">
        <v>31</v>
      </c>
      <c r="E73" s="36">
        <v>46</v>
      </c>
      <c r="F73" s="36">
        <v>160</v>
      </c>
      <c r="G73" s="36">
        <v>81.010199999999998</v>
      </c>
      <c r="H73" s="36">
        <v>75</v>
      </c>
      <c r="I73" s="36">
        <v>26.316199999999998</v>
      </c>
      <c r="J73" s="8">
        <v>53.865600000000001</v>
      </c>
      <c r="K73" s="8">
        <v>177.381</v>
      </c>
      <c r="L73" s="22">
        <f t="shared" si="0"/>
        <v>0.40480782153480455</v>
      </c>
      <c r="M73" s="22">
        <f t="shared" si="1"/>
        <v>3.194783808334833</v>
      </c>
      <c r="N73" s="22">
        <f t="shared" si="2"/>
        <v>35.988346392433655</v>
      </c>
    </row>
    <row r="74" spans="1:14" ht="16">
      <c r="A74" s="36" t="s">
        <v>39</v>
      </c>
      <c r="B74" s="36" t="s">
        <v>20</v>
      </c>
      <c r="C74" s="37">
        <v>59</v>
      </c>
      <c r="D74" s="36" t="s">
        <v>32</v>
      </c>
      <c r="E74" s="36">
        <v>46</v>
      </c>
      <c r="F74" s="36">
        <v>166</v>
      </c>
      <c r="G74" s="36">
        <v>82.596900000000005</v>
      </c>
      <c r="H74" s="36">
        <v>77</v>
      </c>
      <c r="I74" s="36">
        <v>27.386600000000001</v>
      </c>
      <c r="J74" s="8">
        <v>53.865600000000001</v>
      </c>
      <c r="K74" s="8">
        <v>177.381</v>
      </c>
      <c r="L74" s="22">
        <f t="shared" si="0"/>
        <v>0.40480782153480455</v>
      </c>
      <c r="M74" s="22">
        <f t="shared" si="1"/>
        <v>3.194783808334833</v>
      </c>
      <c r="N74" s="22">
        <f t="shared" si="2"/>
        <v>36.630654962862934</v>
      </c>
    </row>
    <row r="75" spans="1:14" ht="16">
      <c r="A75" s="36" t="s">
        <v>39</v>
      </c>
      <c r="B75" s="36" t="s">
        <v>20</v>
      </c>
      <c r="C75" s="37">
        <v>59</v>
      </c>
      <c r="D75" s="36" t="s">
        <v>33</v>
      </c>
      <c r="E75" s="36">
        <v>46</v>
      </c>
      <c r="F75" s="36">
        <v>168</v>
      </c>
      <c r="G75" s="36">
        <v>82.765000000000001</v>
      </c>
      <c r="H75" s="36">
        <v>76</v>
      </c>
      <c r="I75" s="36">
        <v>27.838100000000001</v>
      </c>
      <c r="J75" s="8">
        <v>53.865600000000001</v>
      </c>
      <c r="K75" s="8">
        <v>177.381</v>
      </c>
      <c r="L75" s="22">
        <f t="shared" si="0"/>
        <v>0.40480782153480455</v>
      </c>
      <c r="M75" s="22">
        <f t="shared" si="1"/>
        <v>3.194783808334833</v>
      </c>
      <c r="N75" s="22">
        <f t="shared" si="2"/>
        <v>36.698703157662933</v>
      </c>
    </row>
    <row r="76" spans="1:14" ht="16">
      <c r="A76" s="36" t="s">
        <v>39</v>
      </c>
      <c r="B76" s="36" t="s">
        <v>20</v>
      </c>
      <c r="C76" s="37">
        <v>59</v>
      </c>
      <c r="D76" s="36" t="s">
        <v>34</v>
      </c>
      <c r="E76" s="36">
        <v>46</v>
      </c>
      <c r="F76" s="36">
        <v>168</v>
      </c>
      <c r="G76" s="36">
        <v>85.012699999999995</v>
      </c>
      <c r="H76" s="36">
        <v>79</v>
      </c>
      <c r="I76" s="36">
        <v>29.606200000000001</v>
      </c>
      <c r="J76" s="8">
        <v>53.865600000000001</v>
      </c>
      <c r="K76" s="8">
        <v>177.381</v>
      </c>
      <c r="L76" s="22">
        <f t="shared" si="0"/>
        <v>0.40480782153480455</v>
      </c>
      <c r="M76" s="22">
        <f t="shared" si="1"/>
        <v>3.194783808334833</v>
      </c>
      <c r="N76" s="22">
        <f t="shared" si="2"/>
        <v>37.608589698126707</v>
      </c>
    </row>
    <row r="77" spans="1:14" ht="16">
      <c r="A77" s="36" t="s">
        <v>39</v>
      </c>
      <c r="B77" s="36" t="s">
        <v>20</v>
      </c>
      <c r="C77" s="37">
        <v>59</v>
      </c>
      <c r="D77" s="36" t="s">
        <v>35</v>
      </c>
      <c r="E77" s="36">
        <v>46</v>
      </c>
      <c r="F77" s="36">
        <v>174</v>
      </c>
      <c r="G77" s="36">
        <v>84.206800000000001</v>
      </c>
      <c r="H77" s="36">
        <v>77</v>
      </c>
      <c r="I77" s="36">
        <v>29.596499999999999</v>
      </c>
      <c r="J77" s="8">
        <v>53.865600000000001</v>
      </c>
      <c r="K77" s="8">
        <v>177.381</v>
      </c>
      <c r="L77" s="22">
        <f t="shared" si="0"/>
        <v>0.40480782153480455</v>
      </c>
      <c r="M77" s="22">
        <f t="shared" si="1"/>
        <v>3.194783808334833</v>
      </c>
      <c r="N77" s="22">
        <f t="shared" si="2"/>
        <v>37.282355074751813</v>
      </c>
    </row>
    <row r="78" spans="1:14" ht="16">
      <c r="A78" s="6" t="s">
        <v>39</v>
      </c>
      <c r="B78" s="6" t="s">
        <v>38</v>
      </c>
      <c r="C78" s="6">
        <v>58</v>
      </c>
      <c r="D78" s="6" t="s">
        <v>21</v>
      </c>
      <c r="E78" s="6">
        <v>19</v>
      </c>
      <c r="F78" s="6">
        <v>145</v>
      </c>
      <c r="G78" s="6">
        <v>89.866100000000003</v>
      </c>
      <c r="H78" s="6">
        <v>86</v>
      </c>
      <c r="I78" s="6">
        <v>13.8043</v>
      </c>
      <c r="J78" s="8">
        <v>53.865600000000001</v>
      </c>
      <c r="K78" s="8">
        <v>177.381</v>
      </c>
      <c r="L78" s="22">
        <f t="shared" si="0"/>
        <v>0.40480782153480455</v>
      </c>
      <c r="M78" s="22">
        <f t="shared" si="1"/>
        <v>3.194783808334833</v>
      </c>
      <c r="N78" s="22">
        <f t="shared" si="2"/>
        <v>39.573283979163733</v>
      </c>
    </row>
    <row r="79" spans="1:14" ht="16">
      <c r="A79" s="6" t="s">
        <v>39</v>
      </c>
      <c r="B79" s="6" t="s">
        <v>38</v>
      </c>
      <c r="C79" s="6">
        <v>58</v>
      </c>
      <c r="D79" s="6" t="s">
        <v>22</v>
      </c>
      <c r="E79" s="6">
        <v>72</v>
      </c>
      <c r="F79" s="6">
        <v>145</v>
      </c>
      <c r="G79" s="6">
        <v>88.563100000000006</v>
      </c>
      <c r="H79" s="6">
        <v>84</v>
      </c>
      <c r="I79" s="6">
        <v>13.1671</v>
      </c>
      <c r="J79" s="8">
        <v>53.865600000000001</v>
      </c>
      <c r="K79" s="8">
        <v>177.381</v>
      </c>
      <c r="L79" s="22">
        <f t="shared" si="0"/>
        <v>0.40480782153480455</v>
      </c>
      <c r="M79" s="22">
        <f t="shared" si="1"/>
        <v>3.194783808334833</v>
      </c>
      <c r="N79" s="22">
        <f t="shared" si="2"/>
        <v>39.045819387703887</v>
      </c>
    </row>
    <row r="80" spans="1:14" ht="16">
      <c r="A80" s="6" t="s">
        <v>39</v>
      </c>
      <c r="B80" s="6" t="s">
        <v>38</v>
      </c>
      <c r="C80" s="6">
        <v>58</v>
      </c>
      <c r="D80" s="6" t="s">
        <v>23</v>
      </c>
      <c r="E80" s="6">
        <v>72</v>
      </c>
      <c r="F80" s="6">
        <v>138</v>
      </c>
      <c r="G80" s="6">
        <v>88.506100000000004</v>
      </c>
      <c r="H80" s="6">
        <v>85</v>
      </c>
      <c r="I80" s="6">
        <v>12.5177</v>
      </c>
      <c r="J80" s="8">
        <v>53.865600000000001</v>
      </c>
      <c r="K80" s="8">
        <v>177.381</v>
      </c>
      <c r="L80" s="22">
        <f t="shared" si="0"/>
        <v>0.40480782153480455</v>
      </c>
      <c r="M80" s="22">
        <f t="shared" si="1"/>
        <v>3.194783808334833</v>
      </c>
      <c r="N80" s="22">
        <f t="shared" si="2"/>
        <v>39.022745341876401</v>
      </c>
    </row>
    <row r="81" spans="1:14" ht="16">
      <c r="A81" s="6" t="s">
        <v>39</v>
      </c>
      <c r="B81" s="6" t="s">
        <v>38</v>
      </c>
      <c r="C81" s="6">
        <v>58</v>
      </c>
      <c r="D81" s="6" t="s">
        <v>24</v>
      </c>
      <c r="E81" s="6">
        <v>72</v>
      </c>
      <c r="F81" s="6">
        <v>129</v>
      </c>
      <c r="G81" s="6">
        <v>86.389399999999995</v>
      </c>
      <c r="H81" s="6">
        <v>83</v>
      </c>
      <c r="I81" s="6">
        <v>10.9975</v>
      </c>
      <c r="J81" s="8">
        <v>53.865600000000001</v>
      </c>
      <c r="K81" s="8">
        <v>177.381</v>
      </c>
      <c r="L81" s="22">
        <f t="shared" si="0"/>
        <v>0.40480782153480455</v>
      </c>
      <c r="M81" s="22">
        <f t="shared" si="1"/>
        <v>3.194783808334833</v>
      </c>
      <c r="N81" s="22">
        <f t="shared" si="2"/>
        <v>38.165888626033677</v>
      </c>
    </row>
    <row r="82" spans="1:14" ht="16">
      <c r="A82" s="6" t="s">
        <v>39</v>
      </c>
      <c r="B82" s="6" t="s">
        <v>38</v>
      </c>
      <c r="C82" s="6">
        <v>58</v>
      </c>
      <c r="D82" s="6" t="s">
        <v>25</v>
      </c>
      <c r="E82" s="6">
        <v>33</v>
      </c>
      <c r="F82" s="6">
        <v>127</v>
      </c>
      <c r="G82" s="6">
        <v>85.310900000000004</v>
      </c>
      <c r="H82" s="6">
        <v>82</v>
      </c>
      <c r="I82" s="6">
        <v>10.642300000000001</v>
      </c>
      <c r="J82" s="8">
        <v>53.865600000000001</v>
      </c>
      <c r="K82" s="8">
        <v>177.381</v>
      </c>
      <c r="L82" s="22">
        <f t="shared" si="0"/>
        <v>0.40480782153480455</v>
      </c>
      <c r="M82" s="22">
        <f t="shared" si="1"/>
        <v>3.194783808334833</v>
      </c>
      <c r="N82" s="22">
        <f t="shared" si="2"/>
        <v>37.729303390508392</v>
      </c>
    </row>
    <row r="83" spans="1:14" ht="16">
      <c r="A83" s="13" t="s">
        <v>39</v>
      </c>
      <c r="B83" s="13" t="s">
        <v>38</v>
      </c>
      <c r="C83" s="13">
        <v>58</v>
      </c>
      <c r="D83" s="13" t="s">
        <v>26</v>
      </c>
      <c r="E83" s="13">
        <v>58</v>
      </c>
      <c r="F83" s="13">
        <v>141</v>
      </c>
      <c r="G83" s="13">
        <v>79.045599999999993</v>
      </c>
      <c r="H83" s="13">
        <v>75</v>
      </c>
      <c r="I83" s="13">
        <v>15.4612</v>
      </c>
      <c r="J83" s="8">
        <v>53.865600000000001</v>
      </c>
      <c r="K83" s="8">
        <v>177.381</v>
      </c>
      <c r="L83" s="22">
        <f t="shared" si="0"/>
        <v>0.40480782153480455</v>
      </c>
      <c r="M83" s="22">
        <f t="shared" si="1"/>
        <v>3.194783808334833</v>
      </c>
      <c r="N83" s="22">
        <f t="shared" si="2"/>
        <v>35.193060946246376</v>
      </c>
    </row>
    <row r="84" spans="1:14" ht="16">
      <c r="A84" s="13" t="s">
        <v>39</v>
      </c>
      <c r="B84" s="13" t="s">
        <v>38</v>
      </c>
      <c r="C84" s="13">
        <v>58</v>
      </c>
      <c r="D84" s="13" t="s">
        <v>27</v>
      </c>
      <c r="E84" s="13">
        <v>36</v>
      </c>
      <c r="F84" s="13">
        <v>137</v>
      </c>
      <c r="G84" s="13">
        <v>79.403199999999998</v>
      </c>
      <c r="H84" s="13">
        <v>76</v>
      </c>
      <c r="I84" s="13">
        <v>15.578799999999999</v>
      </c>
      <c r="J84" s="8">
        <v>53.865600000000001</v>
      </c>
      <c r="K84" s="8">
        <v>177.381</v>
      </c>
      <c r="L84" s="22">
        <f t="shared" si="0"/>
        <v>0.40480782153480455</v>
      </c>
      <c r="M84" s="22">
        <f t="shared" si="1"/>
        <v>3.194783808334833</v>
      </c>
      <c r="N84" s="22">
        <f t="shared" si="2"/>
        <v>35.337820223227226</v>
      </c>
    </row>
    <row r="85" spans="1:14" ht="16">
      <c r="A85" s="13" t="s">
        <v>39</v>
      </c>
      <c r="B85" s="13" t="s">
        <v>38</v>
      </c>
      <c r="C85" s="13">
        <v>58</v>
      </c>
      <c r="D85" s="13" t="s">
        <v>28</v>
      </c>
      <c r="E85" s="13">
        <v>46</v>
      </c>
      <c r="F85" s="13">
        <v>135</v>
      </c>
      <c r="G85" s="13">
        <v>77.604399999999998</v>
      </c>
      <c r="H85" s="13">
        <v>74</v>
      </c>
      <c r="I85" s="13">
        <v>14.821300000000001</v>
      </c>
      <c r="J85" s="8">
        <v>53.865600000000001</v>
      </c>
      <c r="K85" s="8">
        <v>177.381</v>
      </c>
      <c r="L85" s="22">
        <f t="shared" si="0"/>
        <v>0.40480782153480455</v>
      </c>
      <c r="M85" s="22">
        <f t="shared" si="1"/>
        <v>3.194783808334833</v>
      </c>
      <c r="N85" s="22">
        <f t="shared" si="2"/>
        <v>34.609651913850414</v>
      </c>
    </row>
    <row r="86" spans="1:14" ht="16">
      <c r="A86" s="13" t="s">
        <v>39</v>
      </c>
      <c r="B86" s="13" t="s">
        <v>38</v>
      </c>
      <c r="C86" s="13">
        <v>58</v>
      </c>
      <c r="D86" s="13" t="s">
        <v>29</v>
      </c>
      <c r="E86" s="13">
        <v>58</v>
      </c>
      <c r="F86" s="13">
        <v>123</v>
      </c>
      <c r="G86" s="13">
        <v>73.615700000000004</v>
      </c>
      <c r="H86" s="13">
        <v>70</v>
      </c>
      <c r="I86" s="13">
        <v>11.838900000000001</v>
      </c>
      <c r="J86" s="8">
        <v>53.865600000000001</v>
      </c>
      <c r="K86" s="8">
        <v>177.381</v>
      </c>
      <c r="L86" s="22">
        <f t="shared" si="0"/>
        <v>0.40480782153480455</v>
      </c>
      <c r="M86" s="22">
        <f t="shared" si="1"/>
        <v>3.194783808334833</v>
      </c>
      <c r="N86" s="22">
        <f t="shared" si="2"/>
        <v>32.994994956094544</v>
      </c>
    </row>
    <row r="87" spans="1:14" ht="16">
      <c r="A87" s="13" t="s">
        <v>39</v>
      </c>
      <c r="B87" s="13" t="s">
        <v>38</v>
      </c>
      <c r="C87" s="13">
        <v>58</v>
      </c>
      <c r="D87" s="13" t="s">
        <v>30</v>
      </c>
      <c r="E87" s="13">
        <v>58</v>
      </c>
      <c r="F87" s="13">
        <v>115</v>
      </c>
      <c r="G87" s="13">
        <v>70.876000000000005</v>
      </c>
      <c r="H87" s="13">
        <v>68</v>
      </c>
      <c r="I87" s="13">
        <v>10.332800000000001</v>
      </c>
      <c r="J87" s="8">
        <v>53.865600000000001</v>
      </c>
      <c r="K87" s="8">
        <v>177.381</v>
      </c>
      <c r="L87" s="22">
        <f t="shared" si="0"/>
        <v>0.40480782153480455</v>
      </c>
      <c r="M87" s="22">
        <f t="shared" si="1"/>
        <v>3.194783808334833</v>
      </c>
      <c r="N87" s="22">
        <f t="shared" si="2"/>
        <v>31.885942967435643</v>
      </c>
    </row>
    <row r="88" spans="1:14" ht="16">
      <c r="A88" s="36" t="s">
        <v>39</v>
      </c>
      <c r="B88" s="36" t="s">
        <v>38</v>
      </c>
      <c r="C88" s="36">
        <v>58</v>
      </c>
      <c r="D88" s="36" t="s">
        <v>31</v>
      </c>
      <c r="E88" s="36">
        <v>37</v>
      </c>
      <c r="F88" s="36">
        <v>163</v>
      </c>
      <c r="G88" s="36">
        <v>90.047300000000007</v>
      </c>
      <c r="H88" s="36">
        <v>86</v>
      </c>
      <c r="I88" s="36">
        <v>21.5701</v>
      </c>
      <c r="J88" s="8">
        <v>53.865600000000001</v>
      </c>
      <c r="K88" s="8">
        <v>177.381</v>
      </c>
      <c r="L88" s="22">
        <f t="shared" si="0"/>
        <v>0.40480782153480455</v>
      </c>
      <c r="M88" s="22">
        <f t="shared" si="1"/>
        <v>3.194783808334833</v>
      </c>
      <c r="N88" s="22">
        <f t="shared" si="2"/>
        <v>39.646635156425845</v>
      </c>
    </row>
    <row r="89" spans="1:14" ht="16">
      <c r="A89" s="36" t="s">
        <v>39</v>
      </c>
      <c r="B89" s="36" t="s">
        <v>38</v>
      </c>
      <c r="C89" s="36">
        <v>58</v>
      </c>
      <c r="D89" s="36" t="s">
        <v>32</v>
      </c>
      <c r="E89" s="36">
        <v>60</v>
      </c>
      <c r="F89" s="36">
        <v>160</v>
      </c>
      <c r="G89" s="36">
        <v>90.738399999999999</v>
      </c>
      <c r="H89" s="36">
        <v>87</v>
      </c>
      <c r="I89" s="36">
        <v>21.682600000000001</v>
      </c>
      <c r="J89" s="8">
        <v>53.865600000000001</v>
      </c>
      <c r="K89" s="8">
        <v>177.381</v>
      </c>
      <c r="L89" s="22">
        <f t="shared" si="0"/>
        <v>0.40480782153480455</v>
      </c>
      <c r="M89" s="22">
        <f t="shared" si="1"/>
        <v>3.194783808334833</v>
      </c>
      <c r="N89" s="22">
        <f t="shared" si="2"/>
        <v>39.926397841888544</v>
      </c>
    </row>
    <row r="90" spans="1:14" ht="16">
      <c r="A90" s="36" t="s">
        <v>39</v>
      </c>
      <c r="B90" s="36" t="s">
        <v>38</v>
      </c>
      <c r="C90" s="36">
        <v>58</v>
      </c>
      <c r="D90" s="36" t="s">
        <v>33</v>
      </c>
      <c r="E90" s="36">
        <v>60</v>
      </c>
      <c r="F90" s="36">
        <v>166</v>
      </c>
      <c r="G90" s="36">
        <v>91.835300000000004</v>
      </c>
      <c r="H90" s="36">
        <v>87</v>
      </c>
      <c r="I90" s="36">
        <v>22.6769</v>
      </c>
      <c r="J90" s="8">
        <v>53.865600000000001</v>
      </c>
      <c r="K90" s="8">
        <v>177.381</v>
      </c>
      <c r="L90" s="22">
        <f t="shared" si="0"/>
        <v>0.40480782153480455</v>
      </c>
      <c r="M90" s="22">
        <f t="shared" si="1"/>
        <v>3.194783808334833</v>
      </c>
      <c r="N90" s="22">
        <f t="shared" si="2"/>
        <v>40.370431541330071</v>
      </c>
    </row>
    <row r="91" spans="1:14" ht="16">
      <c r="A91" s="36" t="s">
        <v>39</v>
      </c>
      <c r="B91" s="36" t="s">
        <v>38</v>
      </c>
      <c r="C91" s="36">
        <v>58</v>
      </c>
      <c r="D91" s="36" t="s">
        <v>34</v>
      </c>
      <c r="E91" s="36">
        <v>34</v>
      </c>
      <c r="F91" s="36">
        <v>171</v>
      </c>
      <c r="G91" s="36">
        <v>94.059899999999999</v>
      </c>
      <c r="H91" s="36">
        <v>89</v>
      </c>
      <c r="I91" s="36">
        <v>24.822900000000001</v>
      </c>
      <c r="J91" s="8">
        <v>53.865600000000001</v>
      </c>
      <c r="K91" s="8">
        <v>177.381</v>
      </c>
      <c r="L91" s="22">
        <f t="shared" si="0"/>
        <v>0.40480782153480455</v>
      </c>
      <c r="M91" s="22">
        <f t="shared" si="1"/>
        <v>3.194783808334833</v>
      </c>
      <c r="N91" s="22">
        <f t="shared" si="2"/>
        <v>41.270967021116398</v>
      </c>
    </row>
    <row r="92" spans="1:14" ht="16">
      <c r="A92" s="36" t="s">
        <v>39</v>
      </c>
      <c r="B92" s="36" t="s">
        <v>38</v>
      </c>
      <c r="C92" s="36">
        <v>58</v>
      </c>
      <c r="D92" s="36" t="s">
        <v>35</v>
      </c>
      <c r="E92" s="36">
        <v>60</v>
      </c>
      <c r="F92" s="36">
        <v>178</v>
      </c>
      <c r="G92" s="36">
        <v>96.264399999999995</v>
      </c>
      <c r="H92" s="36">
        <v>92</v>
      </c>
      <c r="I92" s="36">
        <v>25.1311</v>
      </c>
      <c r="J92" s="8">
        <v>53.865600000000001</v>
      </c>
      <c r="K92" s="8">
        <v>177.381</v>
      </c>
      <c r="L92" s="22">
        <f t="shared" si="0"/>
        <v>0.40480782153480455</v>
      </c>
      <c r="M92" s="22">
        <f t="shared" si="1"/>
        <v>3.194783808334833</v>
      </c>
      <c r="N92" s="22">
        <f t="shared" si="2"/>
        <v>42.163365863689869</v>
      </c>
    </row>
    <row r="93" spans="1:14" ht="16">
      <c r="A93" s="6" t="s">
        <v>63</v>
      </c>
      <c r="B93" s="6" t="s">
        <v>20</v>
      </c>
      <c r="C93" s="6">
        <v>69</v>
      </c>
      <c r="D93" s="6" t="s">
        <v>21</v>
      </c>
      <c r="E93" s="6">
        <v>61</v>
      </c>
      <c r="F93" s="6">
        <v>174</v>
      </c>
      <c r="G93" s="6">
        <v>93.521199999999993</v>
      </c>
      <c r="H93" s="6">
        <v>86</v>
      </c>
      <c r="I93" s="6">
        <v>25.8276</v>
      </c>
      <c r="J93" s="8">
        <v>72.406800000000004</v>
      </c>
      <c r="K93" s="8">
        <v>217.11199999999999</v>
      </c>
      <c r="L93" s="22">
        <f t="shared" si="0"/>
        <v>0.34553008461340712</v>
      </c>
      <c r="M93" s="22">
        <f t="shared" si="1"/>
        <v>-1.8727730586046931E-2</v>
      </c>
      <c r="N93" s="22">
        <f t="shared" si="2"/>
        <v>32.295660418561326</v>
      </c>
    </row>
    <row r="94" spans="1:14" ht="16">
      <c r="A94" s="6" t="s">
        <v>63</v>
      </c>
      <c r="B94" s="6" t="s">
        <v>20</v>
      </c>
      <c r="C94" s="6">
        <v>69</v>
      </c>
      <c r="D94" s="6" t="s">
        <v>22</v>
      </c>
      <c r="E94" s="6">
        <v>61</v>
      </c>
      <c r="F94" s="6">
        <v>158</v>
      </c>
      <c r="G94" s="6">
        <v>88.659700000000001</v>
      </c>
      <c r="H94" s="6">
        <v>81</v>
      </c>
      <c r="I94" s="6">
        <v>23.1037</v>
      </c>
      <c r="J94" s="8">
        <v>72.406800000000004</v>
      </c>
      <c r="K94" s="8">
        <v>217.11199999999999</v>
      </c>
      <c r="L94" s="22">
        <f t="shared" si="0"/>
        <v>0.34553008461340712</v>
      </c>
      <c r="M94" s="22">
        <f t="shared" si="1"/>
        <v>-1.8727730586046931E-2</v>
      </c>
      <c r="N94" s="22">
        <f t="shared" si="2"/>
        <v>30.615865912213245</v>
      </c>
    </row>
    <row r="95" spans="1:14" ht="16">
      <c r="A95" s="6" t="s">
        <v>63</v>
      </c>
      <c r="B95" s="6" t="s">
        <v>20</v>
      </c>
      <c r="C95" s="6">
        <v>69</v>
      </c>
      <c r="D95" s="6" t="s">
        <v>23</v>
      </c>
      <c r="E95" s="6">
        <v>61</v>
      </c>
      <c r="F95" s="6">
        <v>158</v>
      </c>
      <c r="G95" s="6">
        <v>89.015299999999996</v>
      </c>
      <c r="H95" s="6">
        <v>82</v>
      </c>
      <c r="I95" s="6">
        <v>23.161100000000001</v>
      </c>
      <c r="J95" s="8">
        <v>72.406800000000004</v>
      </c>
      <c r="K95" s="8">
        <v>217.11199999999999</v>
      </c>
      <c r="L95" s="22">
        <f t="shared" si="0"/>
        <v>0.34553008461340712</v>
      </c>
      <c r="M95" s="22">
        <f t="shared" si="1"/>
        <v>-1.8727730586046931E-2</v>
      </c>
      <c r="N95" s="22">
        <f t="shared" si="2"/>
        <v>30.738736410301769</v>
      </c>
    </row>
    <row r="96" spans="1:14" ht="16">
      <c r="A96" s="6" t="s">
        <v>63</v>
      </c>
      <c r="B96" s="6" t="s">
        <v>20</v>
      </c>
      <c r="C96" s="6">
        <v>69</v>
      </c>
      <c r="D96" s="6" t="s">
        <v>24</v>
      </c>
      <c r="E96" s="6">
        <v>61</v>
      </c>
      <c r="F96" s="6">
        <v>156</v>
      </c>
      <c r="G96" s="6">
        <v>86.369299999999996</v>
      </c>
      <c r="H96" s="6">
        <v>79</v>
      </c>
      <c r="I96" s="6">
        <v>21.269500000000001</v>
      </c>
      <c r="J96" s="8">
        <v>72.406800000000004</v>
      </c>
      <c r="K96" s="8">
        <v>217.11199999999999</v>
      </c>
      <c r="L96" s="22">
        <f t="shared" si="0"/>
        <v>0.34553008461340712</v>
      </c>
      <c r="M96" s="22">
        <f t="shared" si="1"/>
        <v>-1.8727730586046931E-2</v>
      </c>
      <c r="N96" s="22">
        <f t="shared" si="2"/>
        <v>29.824463806414695</v>
      </c>
    </row>
    <row r="97" spans="1:14" ht="16">
      <c r="A97" s="6" t="s">
        <v>63</v>
      </c>
      <c r="B97" s="6" t="s">
        <v>20</v>
      </c>
      <c r="C97" s="6">
        <v>69</v>
      </c>
      <c r="D97" s="6" t="s">
        <v>25</v>
      </c>
      <c r="E97" s="6">
        <v>39</v>
      </c>
      <c r="F97" s="6">
        <v>144</v>
      </c>
      <c r="G97" s="6">
        <v>86.531099999999995</v>
      </c>
      <c r="H97" s="6">
        <v>80</v>
      </c>
      <c r="I97" s="6">
        <v>21.261399999999998</v>
      </c>
      <c r="J97" s="8">
        <v>72.406800000000004</v>
      </c>
      <c r="K97" s="8">
        <v>217.11199999999999</v>
      </c>
      <c r="L97" s="22">
        <f t="shared" si="0"/>
        <v>0.34553008461340712</v>
      </c>
      <c r="M97" s="22">
        <f t="shared" si="1"/>
        <v>-1.8727730586046931E-2</v>
      </c>
      <c r="N97" s="22">
        <f t="shared" si="2"/>
        <v>29.880370574105143</v>
      </c>
    </row>
    <row r="98" spans="1:14" ht="16">
      <c r="A98" s="13" t="s">
        <v>63</v>
      </c>
      <c r="B98" s="13" t="s">
        <v>20</v>
      </c>
      <c r="C98" s="13">
        <v>69</v>
      </c>
      <c r="D98" s="13" t="s">
        <v>26</v>
      </c>
      <c r="E98" s="13">
        <v>53</v>
      </c>
      <c r="F98" s="13">
        <v>115</v>
      </c>
      <c r="G98" s="13">
        <v>72.108999999999995</v>
      </c>
      <c r="H98" s="13">
        <v>68</v>
      </c>
      <c r="I98" s="13">
        <v>14.2737</v>
      </c>
      <c r="J98" s="8">
        <v>72.406800000000004</v>
      </c>
      <c r="K98" s="8">
        <v>217.11199999999999</v>
      </c>
      <c r="L98" s="22">
        <f t="shared" si="0"/>
        <v>0.34553008461340712</v>
      </c>
      <c r="M98" s="22">
        <f t="shared" si="1"/>
        <v>-1.8727730586046931E-2</v>
      </c>
      <c r="N98" s="22">
        <f t="shared" si="2"/>
        <v>24.897101140802125</v>
      </c>
    </row>
    <row r="99" spans="1:14" ht="16">
      <c r="A99" s="13" t="s">
        <v>63</v>
      </c>
      <c r="B99" s="13" t="s">
        <v>20</v>
      </c>
      <c r="C99" s="13">
        <v>69</v>
      </c>
      <c r="D99" s="13" t="s">
        <v>27</v>
      </c>
      <c r="E99" s="13">
        <v>53</v>
      </c>
      <c r="F99" s="13">
        <v>119</v>
      </c>
      <c r="G99" s="13">
        <v>71.746399999999994</v>
      </c>
      <c r="H99" s="13">
        <v>68</v>
      </c>
      <c r="I99" s="13">
        <v>14.4664</v>
      </c>
      <c r="J99" s="8">
        <v>72.406800000000004</v>
      </c>
      <c r="K99" s="8">
        <v>217.11199999999999</v>
      </c>
      <c r="L99" s="22">
        <f t="shared" si="0"/>
        <v>0.34553008461340712</v>
      </c>
      <c r="M99" s="22">
        <f t="shared" si="1"/>
        <v>-1.8727730586046931E-2</v>
      </c>
      <c r="N99" s="22">
        <f t="shared" si="2"/>
        <v>24.771811932121302</v>
      </c>
    </row>
    <row r="100" spans="1:14" ht="16">
      <c r="A100" s="13" t="s">
        <v>63</v>
      </c>
      <c r="B100" s="13" t="s">
        <v>20</v>
      </c>
      <c r="C100" s="13">
        <v>69</v>
      </c>
      <c r="D100" s="13" t="s">
        <v>28</v>
      </c>
      <c r="E100" s="13">
        <v>53</v>
      </c>
      <c r="F100" s="13">
        <v>111</v>
      </c>
      <c r="G100" s="13">
        <v>69.148899999999998</v>
      </c>
      <c r="H100" s="13">
        <v>66</v>
      </c>
      <c r="I100" s="13">
        <v>12.4603</v>
      </c>
      <c r="J100" s="8">
        <v>72.406800000000004</v>
      </c>
      <c r="K100" s="8">
        <v>217.11199999999999</v>
      </c>
      <c r="L100" s="22">
        <f t="shared" si="0"/>
        <v>0.34553008461340712</v>
      </c>
      <c r="M100" s="22">
        <f t="shared" si="1"/>
        <v>-1.8727730586046931E-2</v>
      </c>
      <c r="N100" s="22">
        <f t="shared" si="2"/>
        <v>23.874297537337981</v>
      </c>
    </row>
    <row r="101" spans="1:14" ht="16">
      <c r="A101" s="13" t="s">
        <v>63</v>
      </c>
      <c r="B101" s="13" t="s">
        <v>20</v>
      </c>
      <c r="C101" s="13">
        <v>69</v>
      </c>
      <c r="D101" s="13" t="s">
        <v>29</v>
      </c>
      <c r="E101" s="13">
        <v>53</v>
      </c>
      <c r="F101" s="13">
        <v>116</v>
      </c>
      <c r="G101" s="13">
        <v>71.350899999999996</v>
      </c>
      <c r="H101" s="13">
        <v>68</v>
      </c>
      <c r="I101" s="13">
        <v>13.700799999999999</v>
      </c>
      <c r="J101" s="8">
        <v>72.406800000000004</v>
      </c>
      <c r="K101" s="8">
        <v>217.11199999999999</v>
      </c>
      <c r="L101" s="22">
        <f t="shared" si="0"/>
        <v>0.34553008461340712</v>
      </c>
      <c r="M101" s="22">
        <f t="shared" si="1"/>
        <v>-1.8727730586046931E-2</v>
      </c>
      <c r="N101" s="22">
        <f t="shared" si="2"/>
        <v>24.635154783656702</v>
      </c>
    </row>
    <row r="102" spans="1:14" ht="16">
      <c r="A102" s="13" t="s">
        <v>63</v>
      </c>
      <c r="B102" s="13" t="s">
        <v>20</v>
      </c>
      <c r="C102" s="13">
        <v>69</v>
      </c>
      <c r="D102" s="13" t="s">
        <v>30</v>
      </c>
      <c r="E102" s="13">
        <v>53</v>
      </c>
      <c r="F102" s="13">
        <v>116</v>
      </c>
      <c r="G102" s="13">
        <v>70.727400000000003</v>
      </c>
      <c r="H102" s="13">
        <v>67</v>
      </c>
      <c r="I102" s="13">
        <v>13.6189</v>
      </c>
      <c r="J102" s="8">
        <v>72.406800000000004</v>
      </c>
      <c r="K102" s="8">
        <v>217.11199999999999</v>
      </c>
      <c r="L102" s="22">
        <f t="shared" si="0"/>
        <v>0.34553008461340712</v>
      </c>
      <c r="M102" s="22">
        <f t="shared" si="1"/>
        <v>-1.8727730586046931E-2</v>
      </c>
      <c r="N102" s="22">
        <f t="shared" si="2"/>
        <v>24.419716775900245</v>
      </c>
    </row>
    <row r="103" spans="1:14" ht="16">
      <c r="A103" s="36" t="s">
        <v>63</v>
      </c>
      <c r="B103" s="36" t="s">
        <v>20</v>
      </c>
      <c r="C103" s="36">
        <v>69</v>
      </c>
      <c r="D103" s="36" t="s">
        <v>31</v>
      </c>
      <c r="E103" s="36">
        <v>54</v>
      </c>
      <c r="F103" s="36">
        <v>140</v>
      </c>
      <c r="G103" s="36">
        <v>81.155100000000004</v>
      </c>
      <c r="H103" s="36">
        <v>77</v>
      </c>
      <c r="I103" s="36">
        <v>19.079699999999999</v>
      </c>
      <c r="J103" s="8">
        <v>72.406800000000004</v>
      </c>
      <c r="K103" s="8">
        <v>217.11199999999999</v>
      </c>
      <c r="L103" s="22">
        <f t="shared" si="0"/>
        <v>0.34553008461340712</v>
      </c>
      <c r="M103" s="22">
        <f t="shared" si="1"/>
        <v>-1.8727730586046931E-2</v>
      </c>
      <c r="N103" s="22">
        <f t="shared" si="2"/>
        <v>28.022800839223471</v>
      </c>
    </row>
    <row r="104" spans="1:14" ht="16">
      <c r="A104" s="36" t="s">
        <v>63</v>
      </c>
      <c r="B104" s="36" t="s">
        <v>20</v>
      </c>
      <c r="C104" s="36">
        <v>69</v>
      </c>
      <c r="D104" s="36" t="s">
        <v>32</v>
      </c>
      <c r="E104" s="36">
        <v>54</v>
      </c>
      <c r="F104" s="36">
        <v>143</v>
      </c>
      <c r="G104" s="36">
        <v>83.255600000000001</v>
      </c>
      <c r="H104" s="36">
        <v>78</v>
      </c>
      <c r="I104" s="36">
        <v>21.250900000000001</v>
      </c>
      <c r="J104" s="8">
        <v>72.406800000000004</v>
      </c>
      <c r="K104" s="8">
        <v>217.11199999999999</v>
      </c>
      <c r="L104" s="22">
        <f t="shared" si="0"/>
        <v>0.34553008461340712</v>
      </c>
      <c r="M104" s="22">
        <f t="shared" si="1"/>
        <v>-1.8727730586046931E-2</v>
      </c>
      <c r="N104" s="22">
        <f t="shared" si="2"/>
        <v>28.748586781953932</v>
      </c>
    </row>
    <row r="105" spans="1:14" ht="16">
      <c r="A105" s="36" t="s">
        <v>63</v>
      </c>
      <c r="B105" s="36" t="s">
        <v>20</v>
      </c>
      <c r="C105" s="36">
        <v>69</v>
      </c>
      <c r="D105" s="36" t="s">
        <v>33</v>
      </c>
      <c r="E105" s="36">
        <v>54</v>
      </c>
      <c r="F105" s="36">
        <v>144</v>
      </c>
      <c r="G105" s="36">
        <v>84.115799999999993</v>
      </c>
      <c r="H105" s="36">
        <v>80</v>
      </c>
      <c r="I105" s="36">
        <v>22.033200000000001</v>
      </c>
      <c r="J105" s="8">
        <v>72.406800000000004</v>
      </c>
      <c r="K105" s="8">
        <v>217.11199999999999</v>
      </c>
      <c r="L105" s="22">
        <f t="shared" si="0"/>
        <v>0.34553008461340712</v>
      </c>
      <c r="M105" s="22">
        <f t="shared" si="1"/>
        <v>-1.8727730586046931E-2</v>
      </c>
      <c r="N105" s="22">
        <f t="shared" si="2"/>
        <v>29.045811760738381</v>
      </c>
    </row>
    <row r="106" spans="1:14" ht="16">
      <c r="A106" s="36" t="s">
        <v>63</v>
      </c>
      <c r="B106" s="36" t="s">
        <v>20</v>
      </c>
      <c r="C106" s="36">
        <v>69</v>
      </c>
      <c r="D106" s="36" t="s">
        <v>34</v>
      </c>
      <c r="E106" s="36">
        <v>54</v>
      </c>
      <c r="F106" s="36">
        <v>149</v>
      </c>
      <c r="G106" s="36">
        <v>86.276499999999999</v>
      </c>
      <c r="H106" s="36">
        <v>83</v>
      </c>
      <c r="I106" s="36">
        <v>23.1142</v>
      </c>
      <c r="J106" s="8">
        <v>72.406800000000004</v>
      </c>
      <c r="K106" s="8">
        <v>217.11199999999999</v>
      </c>
      <c r="L106" s="22">
        <f t="shared" si="0"/>
        <v>0.34553008461340712</v>
      </c>
      <c r="M106" s="22">
        <f t="shared" si="1"/>
        <v>-1.8727730586046931E-2</v>
      </c>
      <c r="N106" s="22">
        <f t="shared" si="2"/>
        <v>29.792398614562572</v>
      </c>
    </row>
    <row r="107" spans="1:14" ht="16">
      <c r="A107" s="36" t="s">
        <v>63</v>
      </c>
      <c r="B107" s="36" t="s">
        <v>20</v>
      </c>
      <c r="C107" s="36">
        <v>69</v>
      </c>
      <c r="D107" s="36" t="s">
        <v>35</v>
      </c>
      <c r="E107" s="36">
        <v>54</v>
      </c>
      <c r="F107" s="36">
        <v>167</v>
      </c>
      <c r="G107" s="36">
        <v>90.764499999999998</v>
      </c>
      <c r="H107" s="36">
        <v>85</v>
      </c>
      <c r="I107" s="36">
        <v>26.7303</v>
      </c>
      <c r="J107" s="8">
        <v>72.406800000000004</v>
      </c>
      <c r="K107" s="8">
        <v>217.11199999999999</v>
      </c>
      <c r="L107" s="22">
        <f t="shared" si="0"/>
        <v>0.34553008461340712</v>
      </c>
      <c r="M107" s="22">
        <f t="shared" si="1"/>
        <v>-1.8727730586046931E-2</v>
      </c>
      <c r="N107" s="22">
        <f t="shared" si="2"/>
        <v>31.343137634307542</v>
      </c>
    </row>
    <row r="108" spans="1:14" ht="16">
      <c r="A108" s="6" t="s">
        <v>63</v>
      </c>
      <c r="B108" s="6" t="s">
        <v>38</v>
      </c>
      <c r="C108" s="6">
        <v>68</v>
      </c>
      <c r="D108" s="6" t="s">
        <v>21</v>
      </c>
      <c r="E108" s="6">
        <v>62</v>
      </c>
      <c r="F108" s="6">
        <v>184</v>
      </c>
      <c r="G108" s="6">
        <v>96.795699999999997</v>
      </c>
      <c r="H108" s="6">
        <v>91</v>
      </c>
      <c r="I108" s="6">
        <v>25.799199999999999</v>
      </c>
      <c r="J108" s="8">
        <v>72.406800000000004</v>
      </c>
      <c r="K108" s="8">
        <v>217.11199999999999</v>
      </c>
      <c r="L108" s="22">
        <f t="shared" si="0"/>
        <v>0.34553008461340712</v>
      </c>
      <c r="M108" s="22">
        <f t="shared" si="1"/>
        <v>-1.8727730586046931E-2</v>
      </c>
      <c r="N108" s="22">
        <f t="shared" si="2"/>
        <v>33.427098680627921</v>
      </c>
    </row>
    <row r="109" spans="1:14" ht="16">
      <c r="A109" s="6" t="s">
        <v>63</v>
      </c>
      <c r="B109" s="6" t="s">
        <v>38</v>
      </c>
      <c r="C109" s="6">
        <v>68</v>
      </c>
      <c r="D109" s="6" t="s">
        <v>22</v>
      </c>
      <c r="E109" s="6">
        <v>62</v>
      </c>
      <c r="F109" s="6">
        <v>174</v>
      </c>
      <c r="G109" s="6">
        <v>91.225200000000001</v>
      </c>
      <c r="H109" s="6">
        <v>84</v>
      </c>
      <c r="I109" s="6">
        <v>24.290500000000002</v>
      </c>
      <c r="J109" s="8">
        <v>72.406800000000004</v>
      </c>
      <c r="K109" s="8">
        <v>217.11199999999999</v>
      </c>
      <c r="L109" s="22">
        <f t="shared" si="0"/>
        <v>0.34553008461340712</v>
      </c>
      <c r="M109" s="22">
        <f t="shared" si="1"/>
        <v>-1.8727730586046931E-2</v>
      </c>
      <c r="N109" s="22">
        <f t="shared" si="2"/>
        <v>31.502323344288939</v>
      </c>
    </row>
    <row r="110" spans="1:14" ht="16">
      <c r="A110" s="6" t="s">
        <v>63</v>
      </c>
      <c r="B110" s="6" t="s">
        <v>38</v>
      </c>
      <c r="C110" s="6">
        <v>68</v>
      </c>
      <c r="D110" s="6" t="s">
        <v>23</v>
      </c>
      <c r="E110" s="6">
        <v>62</v>
      </c>
      <c r="F110" s="6">
        <v>165</v>
      </c>
      <c r="G110" s="6">
        <v>89.347999999999999</v>
      </c>
      <c r="H110" s="6">
        <v>82</v>
      </c>
      <c r="I110" s="6">
        <v>22.522300000000001</v>
      </c>
      <c r="J110" s="8">
        <v>72.406800000000004</v>
      </c>
      <c r="K110" s="8">
        <v>217.11199999999999</v>
      </c>
      <c r="L110" s="22">
        <f t="shared" si="0"/>
        <v>0.34553008461340712</v>
      </c>
      <c r="M110" s="22">
        <f t="shared" si="1"/>
        <v>-1.8727730586046931E-2</v>
      </c>
      <c r="N110" s="22">
        <f t="shared" si="2"/>
        <v>30.853694269452653</v>
      </c>
    </row>
    <row r="111" spans="1:14" ht="16">
      <c r="A111" s="6" t="s">
        <v>63</v>
      </c>
      <c r="B111" s="6" t="s">
        <v>38</v>
      </c>
      <c r="C111" s="6">
        <v>68</v>
      </c>
      <c r="D111" s="6" t="s">
        <v>24</v>
      </c>
      <c r="E111" s="6">
        <v>62</v>
      </c>
      <c r="F111" s="6">
        <v>157</v>
      </c>
      <c r="G111" s="6">
        <v>88.451499999999996</v>
      </c>
      <c r="H111" s="6">
        <v>82</v>
      </c>
      <c r="I111" s="6">
        <v>21.401399999999999</v>
      </c>
      <c r="J111" s="8">
        <v>72.406800000000004</v>
      </c>
      <c r="K111" s="8">
        <v>217.11199999999999</v>
      </c>
      <c r="L111" s="22">
        <f t="shared" si="0"/>
        <v>0.34553008461340712</v>
      </c>
      <c r="M111" s="22">
        <f t="shared" si="1"/>
        <v>-1.8727730586046931E-2</v>
      </c>
      <c r="N111" s="22">
        <f t="shared" si="2"/>
        <v>30.54392654859673</v>
      </c>
    </row>
    <row r="112" spans="1:14" ht="16">
      <c r="A112" s="6" t="s">
        <v>63</v>
      </c>
      <c r="B112" s="6" t="s">
        <v>38</v>
      </c>
      <c r="C112" s="6">
        <v>68</v>
      </c>
      <c r="D112" s="6" t="s">
        <v>25</v>
      </c>
      <c r="E112" s="6">
        <v>62</v>
      </c>
      <c r="F112" s="6">
        <v>150</v>
      </c>
      <c r="G112" s="6">
        <v>86.771900000000002</v>
      </c>
      <c r="H112" s="6">
        <v>81</v>
      </c>
      <c r="I112" s="6">
        <v>19.673200000000001</v>
      </c>
      <c r="J112" s="8">
        <v>72.406800000000004</v>
      </c>
      <c r="K112" s="8">
        <v>217.11199999999999</v>
      </c>
      <c r="L112" s="22">
        <f t="shared" si="0"/>
        <v>0.34553008461340712</v>
      </c>
      <c r="M112" s="22">
        <f t="shared" si="1"/>
        <v>-1.8727730586046931E-2</v>
      </c>
      <c r="N112" s="22">
        <f t="shared" si="2"/>
        <v>29.963574218480055</v>
      </c>
    </row>
    <row r="113" spans="1:14" ht="16">
      <c r="A113" s="13" t="s">
        <v>63</v>
      </c>
      <c r="B113" s="13" t="s">
        <v>38</v>
      </c>
      <c r="C113" s="13">
        <v>68</v>
      </c>
      <c r="D113" s="13" t="s">
        <v>26</v>
      </c>
      <c r="E113" s="13">
        <v>47</v>
      </c>
      <c r="F113" s="13">
        <v>119</v>
      </c>
      <c r="G113" s="13">
        <v>74.422200000000004</v>
      </c>
      <c r="H113" s="13">
        <v>72</v>
      </c>
      <c r="I113" s="13">
        <v>13.8104</v>
      </c>
      <c r="J113" s="8">
        <v>72.406800000000004</v>
      </c>
      <c r="K113" s="8">
        <v>217.11199999999999</v>
      </c>
      <c r="L113" s="22">
        <f t="shared" si="0"/>
        <v>0.34553008461340712</v>
      </c>
      <c r="M113" s="22">
        <f t="shared" si="1"/>
        <v>-1.8727730586046931E-2</v>
      </c>
      <c r="N113" s="22">
        <f t="shared" si="2"/>
        <v>25.69638133252986</v>
      </c>
    </row>
    <row r="114" spans="1:14" ht="16">
      <c r="A114" s="13" t="s">
        <v>63</v>
      </c>
      <c r="B114" s="13" t="s">
        <v>38</v>
      </c>
      <c r="C114" s="13">
        <v>68</v>
      </c>
      <c r="D114" s="13" t="s">
        <v>27</v>
      </c>
      <c r="E114" s="13">
        <v>55</v>
      </c>
      <c r="F114" s="13">
        <v>121</v>
      </c>
      <c r="G114" s="13">
        <v>72.434799999999996</v>
      </c>
      <c r="H114" s="13">
        <v>70</v>
      </c>
      <c r="I114" s="13">
        <v>12.8009</v>
      </c>
      <c r="J114" s="8">
        <v>72.406800000000004</v>
      </c>
      <c r="K114" s="8">
        <v>217.11199999999999</v>
      </c>
      <c r="L114" s="22">
        <f t="shared" si="0"/>
        <v>0.34553008461340712</v>
      </c>
      <c r="M114" s="22">
        <f t="shared" si="1"/>
        <v>-1.8727730586046931E-2</v>
      </c>
      <c r="N114" s="22">
        <f t="shared" si="2"/>
        <v>25.009674842369172</v>
      </c>
    </row>
    <row r="115" spans="1:14" ht="16">
      <c r="A115" s="13" t="s">
        <v>63</v>
      </c>
      <c r="B115" s="13" t="s">
        <v>38</v>
      </c>
      <c r="C115" s="13">
        <v>68</v>
      </c>
      <c r="D115" s="13" t="s">
        <v>28</v>
      </c>
      <c r="E115" s="13">
        <v>55</v>
      </c>
      <c r="F115" s="13">
        <v>117</v>
      </c>
      <c r="G115" s="13">
        <v>72.739599999999996</v>
      </c>
      <c r="H115" s="13">
        <v>70</v>
      </c>
      <c r="I115" s="13">
        <v>12.8809</v>
      </c>
      <c r="J115" s="8">
        <v>72.406800000000004</v>
      </c>
      <c r="K115" s="8">
        <v>217.11199999999999</v>
      </c>
      <c r="L115" s="22">
        <f t="shared" si="0"/>
        <v>0.34553008461340712</v>
      </c>
      <c r="M115" s="22">
        <f t="shared" si="1"/>
        <v>-1.8727730586046931E-2</v>
      </c>
      <c r="N115" s="22">
        <f t="shared" si="2"/>
        <v>25.114992412159339</v>
      </c>
    </row>
    <row r="116" spans="1:14" ht="16">
      <c r="A116" s="13" t="s">
        <v>63</v>
      </c>
      <c r="B116" s="13" t="s">
        <v>38</v>
      </c>
      <c r="C116" s="13">
        <v>68</v>
      </c>
      <c r="D116" s="13" t="s">
        <v>29</v>
      </c>
      <c r="E116" s="13">
        <v>55</v>
      </c>
      <c r="F116" s="13">
        <v>113</v>
      </c>
      <c r="G116" s="13">
        <v>72.691100000000006</v>
      </c>
      <c r="H116" s="13">
        <v>70</v>
      </c>
      <c r="I116" s="13">
        <v>12.719200000000001</v>
      </c>
      <c r="J116" s="8">
        <v>72.406800000000004</v>
      </c>
      <c r="K116" s="8">
        <v>217.11199999999999</v>
      </c>
      <c r="L116" s="22">
        <f t="shared" si="0"/>
        <v>0.34553008461340712</v>
      </c>
      <c r="M116" s="22">
        <f t="shared" si="1"/>
        <v>-1.8727730586046931E-2</v>
      </c>
      <c r="N116" s="22">
        <f t="shared" si="2"/>
        <v>25.098234203055593</v>
      </c>
    </row>
    <row r="117" spans="1:14" ht="16">
      <c r="A117" s="13" t="s">
        <v>63</v>
      </c>
      <c r="B117" s="13" t="s">
        <v>38</v>
      </c>
      <c r="C117" s="13">
        <v>68</v>
      </c>
      <c r="D117" s="13" t="s">
        <v>30</v>
      </c>
      <c r="E117" s="13">
        <v>55</v>
      </c>
      <c r="F117" s="13">
        <v>119</v>
      </c>
      <c r="G117" s="13">
        <v>71.645300000000006</v>
      </c>
      <c r="H117" s="13">
        <v>69</v>
      </c>
      <c r="I117" s="13">
        <v>12.1434</v>
      </c>
      <c r="J117" s="8">
        <v>72.406800000000004</v>
      </c>
      <c r="K117" s="8">
        <v>217.11199999999999</v>
      </c>
      <c r="L117" s="22">
        <f t="shared" si="0"/>
        <v>0.34553008461340712</v>
      </c>
      <c r="M117" s="22">
        <f t="shared" si="1"/>
        <v>-1.8727730586046931E-2</v>
      </c>
      <c r="N117" s="22">
        <f t="shared" si="2"/>
        <v>24.736878840566892</v>
      </c>
    </row>
    <row r="118" spans="1:14" ht="16">
      <c r="A118" s="36" t="s">
        <v>63</v>
      </c>
      <c r="B118" s="36" t="s">
        <v>38</v>
      </c>
      <c r="C118" s="36">
        <v>68</v>
      </c>
      <c r="D118" s="36" t="s">
        <v>31</v>
      </c>
      <c r="E118" s="36">
        <v>59</v>
      </c>
      <c r="F118" s="36">
        <v>155</v>
      </c>
      <c r="G118" s="36">
        <v>116.575</v>
      </c>
      <c r="H118" s="36">
        <v>115</v>
      </c>
      <c r="I118" s="36">
        <v>16.7517</v>
      </c>
      <c r="J118" s="8">
        <v>72.406800000000004</v>
      </c>
      <c r="K118" s="8">
        <v>217.11199999999999</v>
      </c>
      <c r="L118" s="22">
        <f t="shared" si="0"/>
        <v>0.34553008461340712</v>
      </c>
      <c r="M118" s="22">
        <f t="shared" si="1"/>
        <v>-1.8727730586046931E-2</v>
      </c>
      <c r="N118" s="22">
        <f t="shared" si="2"/>
        <v>40.261441883221892</v>
      </c>
    </row>
    <row r="119" spans="1:14" ht="16">
      <c r="A119" s="36" t="s">
        <v>63</v>
      </c>
      <c r="B119" s="36" t="s">
        <v>38</v>
      </c>
      <c r="C119" s="36">
        <v>68</v>
      </c>
      <c r="D119" s="36" t="s">
        <v>32</v>
      </c>
      <c r="E119" s="36">
        <v>97</v>
      </c>
      <c r="F119" s="36">
        <v>159</v>
      </c>
      <c r="G119" s="36">
        <v>118.91200000000001</v>
      </c>
      <c r="H119" s="36">
        <v>115</v>
      </c>
      <c r="I119" s="36">
        <v>15.722300000000001</v>
      </c>
      <c r="J119" s="8">
        <v>72.406800000000004</v>
      </c>
      <c r="K119" s="8">
        <v>217.11199999999999</v>
      </c>
      <c r="L119" s="22">
        <f t="shared" si="0"/>
        <v>0.34553008461340712</v>
      </c>
      <c r="M119" s="22">
        <f t="shared" si="1"/>
        <v>-1.8727730586046931E-2</v>
      </c>
      <c r="N119" s="22">
        <f t="shared" si="2"/>
        <v>41.068945690963417</v>
      </c>
    </row>
    <row r="120" spans="1:14" ht="16">
      <c r="A120" s="36" t="s">
        <v>63</v>
      </c>
      <c r="B120" s="36" t="s">
        <v>38</v>
      </c>
      <c r="C120" s="36">
        <v>68</v>
      </c>
      <c r="D120" s="36" t="s">
        <v>33</v>
      </c>
      <c r="E120" s="36">
        <v>97</v>
      </c>
      <c r="F120" s="36">
        <v>171</v>
      </c>
      <c r="G120" s="36">
        <v>122.014</v>
      </c>
      <c r="H120" s="36">
        <v>119</v>
      </c>
      <c r="I120" s="36">
        <v>16.787800000000001</v>
      </c>
      <c r="J120" s="8">
        <v>72.406800000000004</v>
      </c>
      <c r="K120" s="8">
        <v>217.11199999999999</v>
      </c>
      <c r="L120" s="22">
        <f t="shared" si="0"/>
        <v>0.34553008461340712</v>
      </c>
      <c r="M120" s="22">
        <f t="shared" si="1"/>
        <v>-1.8727730586046931E-2</v>
      </c>
      <c r="N120" s="22">
        <f t="shared" si="2"/>
        <v>42.14078001343421</v>
      </c>
    </row>
    <row r="121" spans="1:14" ht="16">
      <c r="A121" s="36" t="s">
        <v>63</v>
      </c>
      <c r="B121" s="36" t="s">
        <v>38</v>
      </c>
      <c r="C121" s="36">
        <v>68</v>
      </c>
      <c r="D121" s="36" t="s">
        <v>34</v>
      </c>
      <c r="E121" s="36">
        <v>97</v>
      </c>
      <c r="F121" s="36">
        <v>181</v>
      </c>
      <c r="G121" s="36">
        <v>123.792</v>
      </c>
      <c r="H121" s="36">
        <v>120</v>
      </c>
      <c r="I121" s="36">
        <v>18.982500000000002</v>
      </c>
      <c r="J121" s="8">
        <v>72.406800000000004</v>
      </c>
      <c r="K121" s="8">
        <v>217.11199999999999</v>
      </c>
      <c r="L121" s="22">
        <f t="shared" si="0"/>
        <v>0.34553008461340712</v>
      </c>
      <c r="M121" s="22">
        <f t="shared" si="1"/>
        <v>-1.8727730586046931E-2</v>
      </c>
      <c r="N121" s="22">
        <f t="shared" si="2"/>
        <v>42.755132503876851</v>
      </c>
    </row>
    <row r="122" spans="1:14" ht="16">
      <c r="A122" s="36" t="s">
        <v>63</v>
      </c>
      <c r="B122" s="36" t="s">
        <v>38</v>
      </c>
      <c r="C122" s="36">
        <v>68</v>
      </c>
      <c r="D122" s="36" t="s">
        <v>35</v>
      </c>
      <c r="E122" s="36">
        <v>97</v>
      </c>
      <c r="F122" s="36">
        <v>178</v>
      </c>
      <c r="G122" s="36">
        <v>126.218</v>
      </c>
      <c r="H122" s="36">
        <v>122</v>
      </c>
      <c r="I122" s="36">
        <v>19.927700000000002</v>
      </c>
      <c r="J122" s="8">
        <v>72.406800000000004</v>
      </c>
      <c r="K122" s="8">
        <v>217.11199999999999</v>
      </c>
      <c r="L122" s="22">
        <f t="shared" si="0"/>
        <v>0.34553008461340712</v>
      </c>
      <c r="M122" s="22">
        <f t="shared" si="1"/>
        <v>-1.8727730586046931E-2</v>
      </c>
      <c r="N122" s="22">
        <f t="shared" si="2"/>
        <v>43.593388489148978</v>
      </c>
    </row>
    <row r="123" spans="1:14" ht="16">
      <c r="A123" s="6" t="s">
        <v>44</v>
      </c>
      <c r="B123" s="6" t="s">
        <v>42</v>
      </c>
      <c r="C123" s="6">
        <v>68</v>
      </c>
      <c r="D123" s="6" t="s">
        <v>21</v>
      </c>
      <c r="E123" s="6">
        <v>41</v>
      </c>
      <c r="F123" s="6">
        <v>195</v>
      </c>
      <c r="G123" s="6">
        <v>89.9328</v>
      </c>
      <c r="H123" s="6">
        <v>85</v>
      </c>
      <c r="I123" s="6">
        <v>26.885200000000001</v>
      </c>
      <c r="J123" s="8">
        <v>49.669499999999999</v>
      </c>
      <c r="K123" s="8">
        <v>125.735</v>
      </c>
      <c r="L123" s="22">
        <f t="shared" si="0"/>
        <v>0.65732822370194111</v>
      </c>
      <c r="M123" s="22">
        <f t="shared" si="1"/>
        <v>-7.6491642071635653</v>
      </c>
      <c r="N123" s="22">
        <f t="shared" si="2"/>
        <v>51.466203469378364</v>
      </c>
    </row>
    <row r="124" spans="1:14" ht="16">
      <c r="A124" s="6" t="s">
        <v>44</v>
      </c>
      <c r="B124" s="6" t="s">
        <v>42</v>
      </c>
      <c r="C124" s="6">
        <v>68</v>
      </c>
      <c r="D124" s="6" t="s">
        <v>22</v>
      </c>
      <c r="E124" s="6">
        <v>56</v>
      </c>
      <c r="F124" s="6">
        <v>188</v>
      </c>
      <c r="G124" s="6">
        <v>87.036100000000005</v>
      </c>
      <c r="H124" s="6">
        <v>81</v>
      </c>
      <c r="I124" s="6">
        <v>24.340699999999998</v>
      </c>
      <c r="J124" s="8">
        <v>49.669499999999999</v>
      </c>
      <c r="K124" s="8">
        <v>125.735</v>
      </c>
      <c r="L124" s="22">
        <f t="shared" si="0"/>
        <v>0.65732822370194111</v>
      </c>
      <c r="M124" s="22">
        <f t="shared" si="1"/>
        <v>-7.6491642071635653</v>
      </c>
      <c r="N124" s="22">
        <f t="shared" si="2"/>
        <v>49.562120803780957</v>
      </c>
    </row>
    <row r="125" spans="1:14" ht="16">
      <c r="A125" s="6" t="s">
        <v>44</v>
      </c>
      <c r="B125" s="6" t="s">
        <v>42</v>
      </c>
      <c r="C125" s="6">
        <v>68</v>
      </c>
      <c r="D125" s="6" t="s">
        <v>23</v>
      </c>
      <c r="E125" s="6">
        <v>56</v>
      </c>
      <c r="F125" s="6">
        <v>167</v>
      </c>
      <c r="G125" s="6">
        <v>85.027600000000007</v>
      </c>
      <c r="H125" s="6">
        <v>79</v>
      </c>
      <c r="I125" s="6">
        <v>22.751000000000001</v>
      </c>
      <c r="J125" s="8">
        <v>49.669499999999999</v>
      </c>
      <c r="K125" s="8">
        <v>125.735</v>
      </c>
      <c r="L125" s="22">
        <f t="shared" si="0"/>
        <v>0.65732822370194111</v>
      </c>
      <c r="M125" s="22">
        <f t="shared" si="1"/>
        <v>-7.6491642071635653</v>
      </c>
      <c r="N125" s="22">
        <f t="shared" si="2"/>
        <v>48.24187706647561</v>
      </c>
    </row>
    <row r="126" spans="1:14" ht="16">
      <c r="A126" s="6" t="s">
        <v>44</v>
      </c>
      <c r="B126" s="6" t="s">
        <v>42</v>
      </c>
      <c r="C126" s="6">
        <v>68</v>
      </c>
      <c r="D126" s="6" t="s">
        <v>24</v>
      </c>
      <c r="E126" s="6">
        <v>56</v>
      </c>
      <c r="F126" s="6">
        <v>156</v>
      </c>
      <c r="G126" s="6">
        <v>83.214500000000001</v>
      </c>
      <c r="H126" s="6">
        <v>77</v>
      </c>
      <c r="I126" s="6">
        <v>21.386199999999999</v>
      </c>
      <c r="J126" s="8">
        <v>49.669499999999999</v>
      </c>
      <c r="K126" s="8">
        <v>125.735</v>
      </c>
      <c r="L126" s="22">
        <f t="shared" si="0"/>
        <v>0.65732822370194111</v>
      </c>
      <c r="M126" s="22">
        <f t="shared" si="1"/>
        <v>-7.6491642071635653</v>
      </c>
      <c r="N126" s="22">
        <f t="shared" si="2"/>
        <v>47.050075264081613</v>
      </c>
    </row>
    <row r="127" spans="1:14" ht="16">
      <c r="A127" s="6" t="s">
        <v>44</v>
      </c>
      <c r="B127" s="6" t="s">
        <v>42</v>
      </c>
      <c r="C127" s="6">
        <v>68</v>
      </c>
      <c r="D127" s="6" t="s">
        <v>25</v>
      </c>
      <c r="E127" s="6">
        <v>56</v>
      </c>
      <c r="F127" s="6">
        <v>154</v>
      </c>
      <c r="G127" s="6">
        <v>82.590100000000007</v>
      </c>
      <c r="H127" s="6">
        <v>77</v>
      </c>
      <c r="I127" s="6">
        <v>20.578499999999998</v>
      </c>
      <c r="J127" s="8">
        <v>49.669499999999999</v>
      </c>
      <c r="K127" s="8">
        <v>125.735</v>
      </c>
      <c r="L127" s="22">
        <f t="shared" si="0"/>
        <v>0.65732822370194111</v>
      </c>
      <c r="M127" s="22">
        <f t="shared" si="1"/>
        <v>-7.6491642071635653</v>
      </c>
      <c r="N127" s="22">
        <f t="shared" si="2"/>
        <v>46.639639521202128</v>
      </c>
    </row>
    <row r="128" spans="1:14" ht="16">
      <c r="A128" s="13" t="s">
        <v>44</v>
      </c>
      <c r="B128" s="13" t="s">
        <v>42</v>
      </c>
      <c r="C128" s="13">
        <v>68</v>
      </c>
      <c r="D128" s="13" t="s">
        <v>26</v>
      </c>
      <c r="E128" s="13">
        <v>47</v>
      </c>
      <c r="F128" s="13">
        <v>136</v>
      </c>
      <c r="G128" s="13">
        <v>70.680099999999996</v>
      </c>
      <c r="H128" s="13">
        <v>66</v>
      </c>
      <c r="I128" s="13">
        <v>17.955200000000001</v>
      </c>
      <c r="J128" s="8">
        <v>49.669499999999999</v>
      </c>
      <c r="K128" s="8">
        <v>125.735</v>
      </c>
      <c r="L128" s="22">
        <f t="shared" si="0"/>
        <v>0.65732822370194111</v>
      </c>
      <c r="M128" s="22">
        <f t="shared" si="1"/>
        <v>-7.6491642071635653</v>
      </c>
      <c r="N128" s="22">
        <f t="shared" si="2"/>
        <v>38.810860376911997</v>
      </c>
    </row>
    <row r="129" spans="1:14" ht="16">
      <c r="A129" s="13" t="s">
        <v>44</v>
      </c>
      <c r="B129" s="13" t="s">
        <v>42</v>
      </c>
      <c r="C129" s="13">
        <v>68</v>
      </c>
      <c r="D129" s="13" t="s">
        <v>27</v>
      </c>
      <c r="E129" s="13">
        <v>36</v>
      </c>
      <c r="F129" s="13">
        <v>130</v>
      </c>
      <c r="G129" s="13">
        <v>59.560699999999997</v>
      </c>
      <c r="H129" s="13">
        <v>53</v>
      </c>
      <c r="I129" s="13">
        <v>20.213699999999999</v>
      </c>
      <c r="J129" s="8">
        <v>49.669499999999999</v>
      </c>
      <c r="K129" s="8">
        <v>125.735</v>
      </c>
      <c r="L129" s="22">
        <f t="shared" si="0"/>
        <v>0.65732822370194111</v>
      </c>
      <c r="M129" s="22">
        <f t="shared" si="1"/>
        <v>-7.6491642071635653</v>
      </c>
      <c r="N129" s="22">
        <f t="shared" si="2"/>
        <v>31.501764926280636</v>
      </c>
    </row>
    <row r="130" spans="1:14" ht="16">
      <c r="A130" s="13" t="s">
        <v>44</v>
      </c>
      <c r="B130" s="13" t="s">
        <v>42</v>
      </c>
      <c r="C130" s="13">
        <v>68</v>
      </c>
      <c r="D130" s="13" t="s">
        <v>28</v>
      </c>
      <c r="E130" s="13">
        <v>36</v>
      </c>
      <c r="F130" s="13">
        <v>129</v>
      </c>
      <c r="G130" s="13">
        <v>59.298200000000001</v>
      </c>
      <c r="H130" s="13">
        <v>53</v>
      </c>
      <c r="I130" s="13">
        <v>20.051400000000001</v>
      </c>
      <c r="J130" s="8">
        <v>49.669499999999999</v>
      </c>
      <c r="K130" s="8">
        <v>125.735</v>
      </c>
      <c r="L130" s="22">
        <f t="shared" si="0"/>
        <v>0.65732822370194111</v>
      </c>
      <c r="M130" s="22">
        <f t="shared" si="1"/>
        <v>-7.6491642071635653</v>
      </c>
      <c r="N130" s="22">
        <f t="shared" si="2"/>
        <v>31.329216267558877</v>
      </c>
    </row>
    <row r="131" spans="1:14" ht="16">
      <c r="A131" s="13" t="s">
        <v>44</v>
      </c>
      <c r="B131" s="13" t="s">
        <v>42</v>
      </c>
      <c r="C131" s="13">
        <v>68</v>
      </c>
      <c r="D131" s="13" t="s">
        <v>29</v>
      </c>
      <c r="E131" s="13">
        <v>36</v>
      </c>
      <c r="F131" s="13">
        <v>133</v>
      </c>
      <c r="G131" s="13">
        <v>59.733199999999997</v>
      </c>
      <c r="H131" s="13">
        <v>53</v>
      </c>
      <c r="I131" s="13">
        <v>20.509</v>
      </c>
      <c r="J131" s="8">
        <v>49.669499999999999</v>
      </c>
      <c r="K131" s="8">
        <v>125.735</v>
      </c>
      <c r="L131" s="22">
        <f t="shared" si="0"/>
        <v>0.65732822370194111</v>
      </c>
      <c r="M131" s="22">
        <f t="shared" si="1"/>
        <v>-7.6491642071635653</v>
      </c>
      <c r="N131" s="22">
        <f t="shared" si="2"/>
        <v>31.615154044869222</v>
      </c>
    </row>
    <row r="132" spans="1:14" ht="16">
      <c r="A132" s="13" t="s">
        <v>44</v>
      </c>
      <c r="B132" s="13" t="s">
        <v>42</v>
      </c>
      <c r="C132" s="13">
        <v>68</v>
      </c>
      <c r="D132" s="13" t="s">
        <v>30</v>
      </c>
      <c r="E132" s="13">
        <v>36</v>
      </c>
      <c r="F132" s="13">
        <v>137</v>
      </c>
      <c r="G132" s="13">
        <v>59.831299999999999</v>
      </c>
      <c r="H132" s="13">
        <v>53</v>
      </c>
      <c r="I132" s="13">
        <v>20.8567</v>
      </c>
      <c r="J132" s="8">
        <v>49.669499999999999</v>
      </c>
      <c r="K132" s="8">
        <v>125.735</v>
      </c>
      <c r="L132" s="22">
        <f t="shared" si="0"/>
        <v>0.65732822370194111</v>
      </c>
      <c r="M132" s="22">
        <f t="shared" si="1"/>
        <v>-7.6491642071635653</v>
      </c>
      <c r="N132" s="22">
        <f t="shared" si="2"/>
        <v>31.679637943614381</v>
      </c>
    </row>
    <row r="133" spans="1:14" ht="16">
      <c r="A133" s="16" t="s">
        <v>44</v>
      </c>
      <c r="B133" s="16" t="s">
        <v>42</v>
      </c>
      <c r="C133" s="16">
        <v>68</v>
      </c>
      <c r="D133" s="16" t="s">
        <v>31</v>
      </c>
      <c r="E133" s="16">
        <v>46</v>
      </c>
      <c r="F133" s="16">
        <v>171</v>
      </c>
      <c r="G133" s="16">
        <v>82.961699999999993</v>
      </c>
      <c r="H133" s="16">
        <v>77</v>
      </c>
      <c r="I133" s="16">
        <v>27.611499999999999</v>
      </c>
      <c r="J133" s="8">
        <v>49.669499999999999</v>
      </c>
      <c r="K133" s="8">
        <v>125.735</v>
      </c>
      <c r="L133" s="22">
        <f t="shared" si="0"/>
        <v>0.65732822370194111</v>
      </c>
      <c r="M133" s="22">
        <f t="shared" si="1"/>
        <v>-7.6491642071635653</v>
      </c>
      <c r="N133" s="22">
        <f t="shared" si="2"/>
        <v>46.883902689129755</v>
      </c>
    </row>
    <row r="134" spans="1:14" ht="16">
      <c r="A134" s="16" t="s">
        <v>44</v>
      </c>
      <c r="B134" s="16" t="s">
        <v>42</v>
      </c>
      <c r="C134" s="16">
        <v>68</v>
      </c>
      <c r="D134" s="16" t="s">
        <v>32</v>
      </c>
      <c r="E134" s="16">
        <v>43</v>
      </c>
      <c r="F134" s="16">
        <v>169</v>
      </c>
      <c r="G134" s="16">
        <v>83.598299999999995</v>
      </c>
      <c r="H134" s="16">
        <v>78</v>
      </c>
      <c r="I134" s="16">
        <v>27.433700000000002</v>
      </c>
      <c r="J134" s="8">
        <v>49.669499999999999</v>
      </c>
      <c r="K134" s="8">
        <v>125.735</v>
      </c>
      <c r="L134" s="22">
        <f t="shared" si="0"/>
        <v>0.65732822370194111</v>
      </c>
      <c r="M134" s="22">
        <f t="shared" si="1"/>
        <v>-7.6491642071635653</v>
      </c>
      <c r="N134" s="22">
        <f t="shared" si="2"/>
        <v>47.302357836338416</v>
      </c>
    </row>
    <row r="135" spans="1:14" ht="16">
      <c r="A135" s="16" t="s">
        <v>44</v>
      </c>
      <c r="B135" s="16" t="s">
        <v>42</v>
      </c>
      <c r="C135" s="16">
        <v>68</v>
      </c>
      <c r="D135" s="16" t="s">
        <v>33</v>
      </c>
      <c r="E135" s="16">
        <v>46</v>
      </c>
      <c r="F135" s="16">
        <v>175</v>
      </c>
      <c r="G135" s="16">
        <v>83.8626</v>
      </c>
      <c r="H135" s="16">
        <v>79</v>
      </c>
      <c r="I135" s="16">
        <v>27.472899999999999</v>
      </c>
      <c r="J135" s="8">
        <v>49.669499999999999</v>
      </c>
      <c r="K135" s="8">
        <v>125.735</v>
      </c>
      <c r="L135" s="22">
        <f t="shared" si="0"/>
        <v>0.65732822370194111</v>
      </c>
      <c r="M135" s="22">
        <f t="shared" si="1"/>
        <v>-7.6491642071635653</v>
      </c>
      <c r="N135" s="22">
        <f t="shared" si="2"/>
        <v>47.476089685862839</v>
      </c>
    </row>
    <row r="136" spans="1:14" ht="16">
      <c r="A136" s="16" t="s">
        <v>44</v>
      </c>
      <c r="B136" s="16" t="s">
        <v>42</v>
      </c>
      <c r="C136" s="16">
        <v>68</v>
      </c>
      <c r="D136" s="16" t="s">
        <v>34</v>
      </c>
      <c r="E136" s="16">
        <v>46</v>
      </c>
      <c r="F136" s="16">
        <v>180</v>
      </c>
      <c r="G136" s="16">
        <v>83.5137</v>
      </c>
      <c r="H136" s="16">
        <v>78</v>
      </c>
      <c r="I136" s="16">
        <v>27.8934</v>
      </c>
      <c r="J136" s="8">
        <v>49.669499999999999</v>
      </c>
      <c r="K136" s="8">
        <v>125.735</v>
      </c>
      <c r="L136" s="22">
        <f t="shared" si="0"/>
        <v>0.65732822370194111</v>
      </c>
      <c r="M136" s="22">
        <f t="shared" si="1"/>
        <v>-7.6491642071635653</v>
      </c>
      <c r="N136" s="22">
        <f t="shared" si="2"/>
        <v>47.246747868613234</v>
      </c>
    </row>
    <row r="137" spans="1:14" ht="16">
      <c r="A137" s="16" t="s">
        <v>44</v>
      </c>
      <c r="B137" s="16" t="s">
        <v>42</v>
      </c>
      <c r="C137" s="16">
        <v>68</v>
      </c>
      <c r="D137" s="16" t="s">
        <v>35</v>
      </c>
      <c r="E137" s="16">
        <v>46</v>
      </c>
      <c r="F137" s="16">
        <v>174</v>
      </c>
      <c r="G137" s="16">
        <v>82.210899999999995</v>
      </c>
      <c r="H137" s="16">
        <v>77</v>
      </c>
      <c r="I137" s="16">
        <v>26.489699999999999</v>
      </c>
      <c r="J137" s="8">
        <v>49.669499999999999</v>
      </c>
      <c r="K137" s="8">
        <v>125.735</v>
      </c>
      <c r="L137" s="22">
        <f t="shared" si="0"/>
        <v>0.65732822370194111</v>
      </c>
      <c r="M137" s="22">
        <f t="shared" si="1"/>
        <v>-7.6491642071635653</v>
      </c>
      <c r="N137" s="22">
        <f t="shared" si="2"/>
        <v>46.39038065877434</v>
      </c>
    </row>
    <row r="138" spans="1:14" ht="16">
      <c r="A138" s="6" t="s">
        <v>45</v>
      </c>
      <c r="B138" s="6" t="s">
        <v>20</v>
      </c>
      <c r="C138" s="6">
        <v>66</v>
      </c>
      <c r="D138" s="6" t="s">
        <v>21</v>
      </c>
      <c r="E138" s="6">
        <v>51</v>
      </c>
      <c r="F138" s="6">
        <v>178</v>
      </c>
      <c r="G138" s="6">
        <v>81.172700000000006</v>
      </c>
      <c r="H138" s="6">
        <v>76</v>
      </c>
      <c r="I138" s="6">
        <v>22.616199999999999</v>
      </c>
      <c r="J138" s="8">
        <v>53.222299999999997</v>
      </c>
      <c r="K138" s="8">
        <v>126.979</v>
      </c>
      <c r="L138" s="22">
        <f t="shared" si="0"/>
        <v>0.67790451579314159</v>
      </c>
      <c r="M138" s="22">
        <f t="shared" si="1"/>
        <v>-11.079637510897321</v>
      </c>
      <c r="N138" s="22">
        <f t="shared" si="2"/>
        <v>43.947702378224626</v>
      </c>
    </row>
    <row r="139" spans="1:14" ht="16">
      <c r="A139" s="6" t="s">
        <v>45</v>
      </c>
      <c r="B139" s="6" t="s">
        <v>20</v>
      </c>
      <c r="C139" s="6">
        <v>66</v>
      </c>
      <c r="D139" s="6" t="s">
        <v>22</v>
      </c>
      <c r="E139" s="6">
        <v>51</v>
      </c>
      <c r="F139" s="6">
        <v>159</v>
      </c>
      <c r="G139" s="6">
        <v>77.524100000000004</v>
      </c>
      <c r="H139" s="6">
        <v>71</v>
      </c>
      <c r="I139" s="6">
        <v>21.615500000000001</v>
      </c>
      <c r="J139" s="8">
        <v>53.222299999999997</v>
      </c>
      <c r="K139" s="8">
        <v>126.979</v>
      </c>
      <c r="L139" s="22">
        <f t="shared" si="0"/>
        <v>0.67790451579314159</v>
      </c>
      <c r="M139" s="22">
        <f t="shared" si="1"/>
        <v>-11.079637510897321</v>
      </c>
      <c r="N139" s="22">
        <f t="shared" si="2"/>
        <v>41.474299961901771</v>
      </c>
    </row>
    <row r="140" spans="1:14" ht="16">
      <c r="A140" s="6" t="s">
        <v>45</v>
      </c>
      <c r="B140" s="6" t="s">
        <v>20</v>
      </c>
      <c r="C140" s="6">
        <v>66</v>
      </c>
      <c r="D140" s="6" t="s">
        <v>23</v>
      </c>
      <c r="E140" s="6">
        <v>51</v>
      </c>
      <c r="F140" s="6">
        <v>154</v>
      </c>
      <c r="G140" s="6">
        <v>76.974999999999994</v>
      </c>
      <c r="H140" s="6">
        <v>71</v>
      </c>
      <c r="I140" s="6">
        <v>20.8949</v>
      </c>
      <c r="J140" s="8">
        <v>53.222299999999997</v>
      </c>
      <c r="K140" s="8">
        <v>126.979</v>
      </c>
      <c r="L140" s="22">
        <f t="shared" si="0"/>
        <v>0.67790451579314159</v>
      </c>
      <c r="M140" s="22">
        <f t="shared" si="1"/>
        <v>-11.079637510897321</v>
      </c>
      <c r="N140" s="22">
        <f t="shared" si="2"/>
        <v>41.102062592279751</v>
      </c>
    </row>
    <row r="141" spans="1:14" ht="16">
      <c r="A141" s="6" t="s">
        <v>45</v>
      </c>
      <c r="B141" s="6" t="s">
        <v>20</v>
      </c>
      <c r="C141" s="6">
        <v>66</v>
      </c>
      <c r="D141" s="6" t="s">
        <v>24</v>
      </c>
      <c r="E141" s="6">
        <v>51</v>
      </c>
      <c r="F141" s="6">
        <v>149</v>
      </c>
      <c r="G141" s="6">
        <v>75.740799999999993</v>
      </c>
      <c r="H141" s="6">
        <v>70</v>
      </c>
      <c r="I141" s="6">
        <v>19.812200000000001</v>
      </c>
      <c r="J141" s="8">
        <v>53.222299999999997</v>
      </c>
      <c r="K141" s="8">
        <v>126.979</v>
      </c>
      <c r="L141" s="22">
        <f t="shared" si="0"/>
        <v>0.67790451579314159</v>
      </c>
      <c r="M141" s="22">
        <f t="shared" si="1"/>
        <v>-11.079637510897321</v>
      </c>
      <c r="N141" s="22">
        <f t="shared" si="2"/>
        <v>40.265392838887855</v>
      </c>
    </row>
    <row r="142" spans="1:14" ht="16">
      <c r="A142" s="6" t="s">
        <v>45</v>
      </c>
      <c r="B142" s="6" t="s">
        <v>20</v>
      </c>
      <c r="C142" s="6">
        <v>66</v>
      </c>
      <c r="D142" s="6" t="s">
        <v>25</v>
      </c>
      <c r="E142" s="6">
        <v>51</v>
      </c>
      <c r="F142" s="6">
        <v>147</v>
      </c>
      <c r="G142" s="6">
        <v>75.403999999999996</v>
      </c>
      <c r="H142" s="6">
        <v>70</v>
      </c>
      <c r="I142" s="6">
        <v>19.604399999999998</v>
      </c>
      <c r="J142" s="8">
        <v>53.222299999999997</v>
      </c>
      <c r="K142" s="8">
        <v>126.979</v>
      </c>
      <c r="L142" s="22">
        <f t="shared" si="0"/>
        <v>0.67790451579314159</v>
      </c>
      <c r="M142" s="22">
        <f t="shared" si="1"/>
        <v>-11.079637510897321</v>
      </c>
      <c r="N142" s="22">
        <f t="shared" si="2"/>
        <v>40.037074597968726</v>
      </c>
    </row>
    <row r="143" spans="1:14" ht="16">
      <c r="A143" s="13" t="s">
        <v>45</v>
      </c>
      <c r="B143" s="13" t="s">
        <v>20</v>
      </c>
      <c r="C143" s="13">
        <v>66</v>
      </c>
      <c r="D143" s="13" t="s">
        <v>26</v>
      </c>
      <c r="E143" s="13">
        <v>38</v>
      </c>
      <c r="F143" s="13">
        <v>141</v>
      </c>
      <c r="G143" s="13">
        <v>60.3431</v>
      </c>
      <c r="H143" s="13">
        <v>53</v>
      </c>
      <c r="I143" s="13">
        <v>19.985099999999999</v>
      </c>
      <c r="J143" s="8">
        <v>53.222299999999997</v>
      </c>
      <c r="K143" s="8">
        <v>126.979</v>
      </c>
      <c r="L143" s="22">
        <f t="shared" si="0"/>
        <v>0.67790451579314159</v>
      </c>
      <c r="M143" s="22">
        <f t="shared" si="1"/>
        <v>-11.079637510897321</v>
      </c>
      <c r="N143" s="22">
        <f t="shared" si="2"/>
        <v>29.827222476059802</v>
      </c>
    </row>
    <row r="144" spans="1:14" ht="16">
      <c r="A144" s="13" t="s">
        <v>45</v>
      </c>
      <c r="B144" s="13" t="s">
        <v>20</v>
      </c>
      <c r="C144" s="13">
        <v>66</v>
      </c>
      <c r="D144" s="13" t="s">
        <v>27</v>
      </c>
      <c r="E144" s="13">
        <v>38</v>
      </c>
      <c r="F144" s="13">
        <v>131</v>
      </c>
      <c r="G144" s="13">
        <v>60.496200000000002</v>
      </c>
      <c r="H144" s="13">
        <v>54</v>
      </c>
      <c r="I144" s="13">
        <v>19.596299999999999</v>
      </c>
      <c r="J144" s="8">
        <v>53.222299999999997</v>
      </c>
      <c r="K144" s="8">
        <v>126.979</v>
      </c>
      <c r="L144" s="22">
        <f t="shared" si="0"/>
        <v>0.67790451579314159</v>
      </c>
      <c r="M144" s="22">
        <f t="shared" si="1"/>
        <v>-11.079637510897321</v>
      </c>
      <c r="N144" s="22">
        <f t="shared" si="2"/>
        <v>29.93100965742773</v>
      </c>
    </row>
    <row r="145" spans="1:14" ht="16">
      <c r="A145" s="13" t="s">
        <v>45</v>
      </c>
      <c r="B145" s="13" t="s">
        <v>20</v>
      </c>
      <c r="C145" s="13">
        <v>66</v>
      </c>
      <c r="D145" s="13" t="s">
        <v>28</v>
      </c>
      <c r="E145" s="13">
        <v>38</v>
      </c>
      <c r="F145" s="13">
        <v>128</v>
      </c>
      <c r="G145" s="13">
        <v>60.200400000000002</v>
      </c>
      <c r="H145" s="13">
        <v>54</v>
      </c>
      <c r="I145" s="13">
        <v>19.535599999999999</v>
      </c>
      <c r="J145" s="8">
        <v>53.222299999999997</v>
      </c>
      <c r="K145" s="8">
        <v>126.979</v>
      </c>
      <c r="L145" s="22">
        <f t="shared" si="0"/>
        <v>0.67790451579314159</v>
      </c>
      <c r="M145" s="22">
        <f t="shared" si="1"/>
        <v>-11.079637510897321</v>
      </c>
      <c r="N145" s="22">
        <f t="shared" si="2"/>
        <v>29.730485501656119</v>
      </c>
    </row>
    <row r="146" spans="1:14" ht="16">
      <c r="A146" s="13" t="s">
        <v>45</v>
      </c>
      <c r="B146" s="13" t="s">
        <v>20</v>
      </c>
      <c r="C146" s="13">
        <v>66</v>
      </c>
      <c r="D146" s="13" t="s">
        <v>29</v>
      </c>
      <c r="E146" s="13">
        <v>38</v>
      </c>
      <c r="F146" s="13">
        <v>140</v>
      </c>
      <c r="G146" s="13">
        <v>60.752600000000001</v>
      </c>
      <c r="H146" s="13">
        <v>54</v>
      </c>
      <c r="I146" s="13">
        <v>20.0319</v>
      </c>
      <c r="J146" s="8">
        <v>53.222299999999997</v>
      </c>
      <c r="K146" s="8">
        <v>126.979</v>
      </c>
      <c r="L146" s="22">
        <f t="shared" si="0"/>
        <v>0.67790451579314159</v>
      </c>
      <c r="M146" s="22">
        <f t="shared" si="1"/>
        <v>-11.079637510897321</v>
      </c>
      <c r="N146" s="22">
        <f t="shared" si="2"/>
        <v>30.104824375277097</v>
      </c>
    </row>
    <row r="147" spans="1:14" ht="16">
      <c r="A147" s="13" t="s">
        <v>45</v>
      </c>
      <c r="B147" s="13" t="s">
        <v>20</v>
      </c>
      <c r="C147" s="13">
        <v>66</v>
      </c>
      <c r="D147" s="13" t="s">
        <v>30</v>
      </c>
      <c r="E147" s="13">
        <v>38</v>
      </c>
      <c r="F147" s="13">
        <v>136</v>
      </c>
      <c r="G147" s="13">
        <v>60.450299999999999</v>
      </c>
      <c r="H147" s="13">
        <v>53</v>
      </c>
      <c r="I147" s="13">
        <v>20.374700000000001</v>
      </c>
      <c r="J147" s="8">
        <v>53.222299999999997</v>
      </c>
      <c r="K147" s="8">
        <v>126.979</v>
      </c>
      <c r="L147" s="22">
        <f t="shared" si="0"/>
        <v>0.67790451579314159</v>
      </c>
      <c r="M147" s="22">
        <f t="shared" si="1"/>
        <v>-11.079637510897321</v>
      </c>
      <c r="N147" s="22">
        <f t="shared" si="2"/>
        <v>29.899893840152828</v>
      </c>
    </row>
    <row r="148" spans="1:14" ht="16">
      <c r="A148" s="16" t="s">
        <v>45</v>
      </c>
      <c r="B148" s="16" t="s">
        <v>20</v>
      </c>
      <c r="C148" s="16">
        <v>66</v>
      </c>
      <c r="D148" s="16" t="s">
        <v>31</v>
      </c>
      <c r="E148" s="16">
        <v>46</v>
      </c>
      <c r="F148" s="16">
        <v>158</v>
      </c>
      <c r="G148" s="16">
        <v>81.524000000000001</v>
      </c>
      <c r="H148" s="16">
        <v>75</v>
      </c>
      <c r="I148" s="16">
        <v>26.907800000000002</v>
      </c>
      <c r="J148" s="8">
        <v>53.222299999999997</v>
      </c>
      <c r="K148" s="8">
        <v>126.979</v>
      </c>
      <c r="L148" s="22">
        <f t="shared" si="0"/>
        <v>0.67790451579314159</v>
      </c>
      <c r="M148" s="22">
        <f t="shared" si="1"/>
        <v>-11.079637510897321</v>
      </c>
      <c r="N148" s="22">
        <f t="shared" si="2"/>
        <v>44.185850234622755</v>
      </c>
    </row>
    <row r="149" spans="1:14" ht="16">
      <c r="A149" s="16" t="s">
        <v>45</v>
      </c>
      <c r="B149" s="16" t="s">
        <v>20</v>
      </c>
      <c r="C149" s="16">
        <v>66</v>
      </c>
      <c r="D149" s="16" t="s">
        <v>32</v>
      </c>
      <c r="E149" s="16">
        <v>46</v>
      </c>
      <c r="F149" s="16">
        <v>167</v>
      </c>
      <c r="G149" s="16">
        <v>82.110100000000003</v>
      </c>
      <c r="H149" s="16">
        <v>76</v>
      </c>
      <c r="I149" s="16">
        <v>26.5365</v>
      </c>
      <c r="J149" s="8">
        <v>53.222299999999997</v>
      </c>
      <c r="K149" s="8">
        <v>126.979</v>
      </c>
      <c r="L149" s="22">
        <f t="shared" si="0"/>
        <v>0.67790451579314159</v>
      </c>
      <c r="M149" s="22">
        <f t="shared" si="1"/>
        <v>-11.079637510897321</v>
      </c>
      <c r="N149" s="22">
        <f t="shared" si="2"/>
        <v>44.583170071329114</v>
      </c>
    </row>
    <row r="150" spans="1:14" ht="16">
      <c r="A150" s="16" t="s">
        <v>45</v>
      </c>
      <c r="B150" s="16" t="s">
        <v>20</v>
      </c>
      <c r="C150" s="16">
        <v>66</v>
      </c>
      <c r="D150" s="16" t="s">
        <v>33</v>
      </c>
      <c r="E150" s="16">
        <v>46</v>
      </c>
      <c r="F150" s="16">
        <v>165</v>
      </c>
      <c r="G150" s="16">
        <v>82.219300000000004</v>
      </c>
      <c r="H150" s="16">
        <v>76</v>
      </c>
      <c r="I150" s="16">
        <v>26.9816</v>
      </c>
      <c r="J150" s="8">
        <v>53.222299999999997</v>
      </c>
      <c r="K150" s="8">
        <v>126.979</v>
      </c>
      <c r="L150" s="22">
        <f t="shared" si="0"/>
        <v>0.67790451579314159</v>
      </c>
      <c r="M150" s="22">
        <f t="shared" si="1"/>
        <v>-11.079637510897321</v>
      </c>
      <c r="N150" s="22">
        <f t="shared" si="2"/>
        <v>44.657197244453727</v>
      </c>
    </row>
    <row r="151" spans="1:14" ht="16">
      <c r="A151" s="16" t="s">
        <v>45</v>
      </c>
      <c r="B151" s="16" t="s">
        <v>20</v>
      </c>
      <c r="C151" s="16">
        <v>66</v>
      </c>
      <c r="D151" s="16" t="s">
        <v>34</v>
      </c>
      <c r="E151" s="16">
        <v>46</v>
      </c>
      <c r="F151" s="16">
        <v>166</v>
      </c>
      <c r="G151" s="16">
        <v>81.264600000000002</v>
      </c>
      <c r="H151" s="16">
        <v>75</v>
      </c>
      <c r="I151" s="16">
        <v>26.5002</v>
      </c>
      <c r="J151" s="8">
        <v>53.222299999999997</v>
      </c>
      <c r="K151" s="8">
        <v>126.979</v>
      </c>
      <c r="L151" s="22">
        <f t="shared" si="0"/>
        <v>0.67790451579314159</v>
      </c>
      <c r="M151" s="22">
        <f t="shared" si="1"/>
        <v>-11.079637510897321</v>
      </c>
      <c r="N151" s="22">
        <f t="shared" si="2"/>
        <v>44.010001803226011</v>
      </c>
    </row>
    <row r="152" spans="1:14" ht="16">
      <c r="A152" s="16" t="s">
        <v>45</v>
      </c>
      <c r="B152" s="16" t="s">
        <v>20</v>
      </c>
      <c r="C152" s="16">
        <v>66</v>
      </c>
      <c r="D152" s="16" t="s">
        <v>35</v>
      </c>
      <c r="E152" s="16">
        <v>46</v>
      </c>
      <c r="F152" s="16">
        <v>164</v>
      </c>
      <c r="G152" s="16">
        <v>80.841899999999995</v>
      </c>
      <c r="H152" s="16">
        <v>76</v>
      </c>
      <c r="I152" s="16">
        <v>25.8233</v>
      </c>
      <c r="J152" s="8">
        <v>53.222299999999997</v>
      </c>
      <c r="K152" s="8">
        <v>126.979</v>
      </c>
      <c r="L152" s="22">
        <f t="shared" si="0"/>
        <v>0.67790451579314159</v>
      </c>
      <c r="M152" s="22">
        <f t="shared" si="1"/>
        <v>-11.079637510897321</v>
      </c>
      <c r="N152" s="22">
        <f t="shared" si="2"/>
        <v>43.72345156440025</v>
      </c>
    </row>
    <row r="153" spans="1:14" ht="16">
      <c r="A153" s="6" t="s">
        <v>46</v>
      </c>
      <c r="B153" s="6" t="s">
        <v>47</v>
      </c>
      <c r="C153" s="6">
        <v>95</v>
      </c>
      <c r="D153" s="6" t="s">
        <v>21</v>
      </c>
      <c r="E153" s="6">
        <v>38</v>
      </c>
      <c r="F153" s="6">
        <v>200</v>
      </c>
      <c r="G153" s="6">
        <v>84.588200000000001</v>
      </c>
      <c r="H153" s="6">
        <v>80</v>
      </c>
      <c r="I153" s="6">
        <v>30.013100000000001</v>
      </c>
      <c r="J153" s="8">
        <v>44.594499999999996</v>
      </c>
      <c r="K153" s="8">
        <v>117.521</v>
      </c>
      <c r="L153" s="22">
        <f t="shared" si="0"/>
        <v>0.6856218247139243</v>
      </c>
      <c r="M153" s="22">
        <f t="shared" si="1"/>
        <v>-5.5749624622050931</v>
      </c>
      <c r="N153" s="22">
        <f t="shared" si="2"/>
        <v>52.420553571061276</v>
      </c>
    </row>
    <row r="154" spans="1:14" ht="16">
      <c r="A154" s="6" t="s">
        <v>46</v>
      </c>
      <c r="B154" s="6" t="s">
        <v>47</v>
      </c>
      <c r="C154" s="6">
        <v>95</v>
      </c>
      <c r="D154" s="6" t="s">
        <v>22</v>
      </c>
      <c r="E154" s="6">
        <v>44</v>
      </c>
      <c r="F154" s="6">
        <v>201</v>
      </c>
      <c r="G154" s="6">
        <v>81.507099999999994</v>
      </c>
      <c r="H154" s="6">
        <v>75</v>
      </c>
      <c r="I154" s="6">
        <v>29.264800000000001</v>
      </c>
      <c r="J154" s="8">
        <v>44.594499999999996</v>
      </c>
      <c r="K154" s="8">
        <v>117.521</v>
      </c>
      <c r="L154" s="22">
        <f t="shared" si="0"/>
        <v>0.6856218247139243</v>
      </c>
      <c r="M154" s="22">
        <f t="shared" si="1"/>
        <v>-5.5749624622050931</v>
      </c>
      <c r="N154" s="22">
        <f t="shared" si="2"/>
        <v>50.308084166935203</v>
      </c>
    </row>
    <row r="155" spans="1:14" ht="16">
      <c r="A155" s="6" t="s">
        <v>46</v>
      </c>
      <c r="B155" s="6" t="s">
        <v>47</v>
      </c>
      <c r="C155" s="6">
        <v>95</v>
      </c>
      <c r="D155" s="6" t="s">
        <v>23</v>
      </c>
      <c r="E155" s="6">
        <v>38</v>
      </c>
      <c r="F155" s="6">
        <v>188</v>
      </c>
      <c r="G155" s="6">
        <v>78.523200000000003</v>
      </c>
      <c r="H155" s="6">
        <v>73</v>
      </c>
      <c r="I155" s="6">
        <v>26.6568</v>
      </c>
      <c r="J155" s="8">
        <v>44.594499999999996</v>
      </c>
      <c r="K155" s="8">
        <v>117.521</v>
      </c>
      <c r="L155" s="22">
        <f t="shared" si="0"/>
        <v>0.6856218247139243</v>
      </c>
      <c r="M155" s="22">
        <f t="shared" si="1"/>
        <v>-5.5749624622050931</v>
      </c>
      <c r="N155" s="22">
        <f t="shared" si="2"/>
        <v>48.262257204171327</v>
      </c>
    </row>
    <row r="156" spans="1:14" ht="16">
      <c r="A156" s="6" t="s">
        <v>46</v>
      </c>
      <c r="B156" s="6" t="s">
        <v>47</v>
      </c>
      <c r="C156" s="6">
        <v>95</v>
      </c>
      <c r="D156" s="6" t="s">
        <v>24</v>
      </c>
      <c r="E156" s="6">
        <v>38</v>
      </c>
      <c r="F156" s="6">
        <v>169</v>
      </c>
      <c r="G156" s="6">
        <v>75.557699999999997</v>
      </c>
      <c r="H156" s="6">
        <v>70</v>
      </c>
      <c r="I156" s="6">
        <v>24.641200000000001</v>
      </c>
      <c r="J156" s="8">
        <v>44.594499999999996</v>
      </c>
      <c r="K156" s="8">
        <v>117.521</v>
      </c>
      <c r="L156" s="22">
        <f t="shared" si="0"/>
        <v>0.6856218247139243</v>
      </c>
      <c r="M156" s="22">
        <f t="shared" si="1"/>
        <v>-5.5749624622050931</v>
      </c>
      <c r="N156" s="22">
        <f t="shared" si="2"/>
        <v>46.229045682982182</v>
      </c>
    </row>
    <row r="157" spans="1:14" ht="16">
      <c r="A157" s="6" t="s">
        <v>46</v>
      </c>
      <c r="B157" s="6" t="s">
        <v>47</v>
      </c>
      <c r="C157" s="6">
        <v>95</v>
      </c>
      <c r="D157" s="6" t="s">
        <v>25</v>
      </c>
      <c r="E157" s="6">
        <v>38</v>
      </c>
      <c r="F157" s="6">
        <v>164</v>
      </c>
      <c r="G157" s="6">
        <v>74.016000000000005</v>
      </c>
      <c r="H157" s="6">
        <v>68</v>
      </c>
      <c r="I157" s="6">
        <v>24.087499999999999</v>
      </c>
      <c r="J157" s="8">
        <v>44.594499999999996</v>
      </c>
      <c r="K157" s="8">
        <v>117.521</v>
      </c>
      <c r="L157" s="22">
        <f t="shared" si="0"/>
        <v>0.6856218247139243</v>
      </c>
      <c r="M157" s="22">
        <f t="shared" si="1"/>
        <v>-5.5749624622050931</v>
      </c>
      <c r="N157" s="22">
        <f t="shared" si="2"/>
        <v>45.172022515820728</v>
      </c>
    </row>
    <row r="158" spans="1:14" ht="16">
      <c r="A158" s="13" t="s">
        <v>46</v>
      </c>
      <c r="B158" s="13" t="s">
        <v>47</v>
      </c>
      <c r="C158" s="13">
        <v>95</v>
      </c>
      <c r="D158" s="13" t="s">
        <v>26</v>
      </c>
      <c r="E158" s="13">
        <v>33</v>
      </c>
      <c r="F158" s="13">
        <v>146</v>
      </c>
      <c r="G158" s="13">
        <v>60.214599999999997</v>
      </c>
      <c r="H158" s="13">
        <v>53</v>
      </c>
      <c r="I158" s="13">
        <v>22.844899999999999</v>
      </c>
      <c r="J158" s="8">
        <v>44.594499999999996</v>
      </c>
      <c r="K158" s="8">
        <v>117.521</v>
      </c>
      <c r="L158" s="22">
        <f t="shared" si="0"/>
        <v>0.6856218247139243</v>
      </c>
      <c r="M158" s="22">
        <f t="shared" si="1"/>
        <v>-5.5749624622050931</v>
      </c>
      <c r="N158" s="22">
        <f t="shared" si="2"/>
        <v>35.709481464213972</v>
      </c>
    </row>
    <row r="159" spans="1:14" ht="16">
      <c r="A159" s="13" t="s">
        <v>46</v>
      </c>
      <c r="B159" s="13" t="s">
        <v>47</v>
      </c>
      <c r="C159" s="13">
        <v>95</v>
      </c>
      <c r="D159" s="13" t="s">
        <v>27</v>
      </c>
      <c r="E159" s="13">
        <v>33</v>
      </c>
      <c r="F159" s="13">
        <v>148</v>
      </c>
      <c r="G159" s="13">
        <v>60.1554</v>
      </c>
      <c r="H159" s="13">
        <v>54</v>
      </c>
      <c r="I159" s="13">
        <v>22.465900000000001</v>
      </c>
      <c r="J159" s="8">
        <v>44.594499999999996</v>
      </c>
      <c r="K159" s="8">
        <v>117.521</v>
      </c>
      <c r="L159" s="22">
        <f t="shared" si="0"/>
        <v>0.6856218247139243</v>
      </c>
      <c r="M159" s="22">
        <f t="shared" si="1"/>
        <v>-5.5749624622050931</v>
      </c>
      <c r="N159" s="22">
        <f t="shared" si="2"/>
        <v>35.668892652190912</v>
      </c>
    </row>
    <row r="160" spans="1:14" ht="16">
      <c r="A160" s="13" t="s">
        <v>46</v>
      </c>
      <c r="B160" s="13" t="s">
        <v>47</v>
      </c>
      <c r="C160" s="13">
        <v>95</v>
      </c>
      <c r="D160" s="13" t="s">
        <v>28</v>
      </c>
      <c r="E160" s="13">
        <v>33</v>
      </c>
      <c r="F160" s="13">
        <v>139</v>
      </c>
      <c r="G160" s="13">
        <v>59.7624</v>
      </c>
      <c r="H160" s="13">
        <v>53</v>
      </c>
      <c r="I160" s="13">
        <v>22.334700000000002</v>
      </c>
      <c r="J160" s="8">
        <v>44.594499999999996</v>
      </c>
      <c r="K160" s="8">
        <v>117.521</v>
      </c>
      <c r="L160" s="22">
        <f t="shared" si="0"/>
        <v>0.6856218247139243</v>
      </c>
      <c r="M160" s="22">
        <f t="shared" si="1"/>
        <v>-5.5749624622050931</v>
      </c>
      <c r="N160" s="22">
        <f t="shared" si="2"/>
        <v>35.399443275078333</v>
      </c>
    </row>
    <row r="161" spans="1:14" ht="16">
      <c r="A161" s="13" t="s">
        <v>46</v>
      </c>
      <c r="B161" s="13" t="s">
        <v>47</v>
      </c>
      <c r="C161" s="13">
        <v>95</v>
      </c>
      <c r="D161" s="13" t="s">
        <v>29</v>
      </c>
      <c r="E161" s="13">
        <v>33</v>
      </c>
      <c r="F161" s="13">
        <v>255</v>
      </c>
      <c r="G161" s="13">
        <v>60.891500000000001</v>
      </c>
      <c r="H161" s="13">
        <v>54</v>
      </c>
      <c r="I161" s="13">
        <v>23.225000000000001</v>
      </c>
      <c r="J161" s="8">
        <v>44.594499999999996</v>
      </c>
      <c r="K161" s="8">
        <v>117.521</v>
      </c>
      <c r="L161" s="22">
        <f t="shared" si="0"/>
        <v>0.6856218247139243</v>
      </c>
      <c r="M161" s="22">
        <f t="shared" si="1"/>
        <v>-5.5749624622050931</v>
      </c>
      <c r="N161" s="22">
        <f t="shared" si="2"/>
        <v>36.173578877362829</v>
      </c>
    </row>
    <row r="162" spans="1:14" ht="16">
      <c r="A162" s="13" t="s">
        <v>46</v>
      </c>
      <c r="B162" s="13" t="s">
        <v>47</v>
      </c>
      <c r="C162" s="13">
        <v>95</v>
      </c>
      <c r="D162" s="13" t="s">
        <v>30</v>
      </c>
      <c r="E162" s="13">
        <v>33</v>
      </c>
      <c r="F162" s="13">
        <v>255</v>
      </c>
      <c r="G162" s="13">
        <v>62.812100000000001</v>
      </c>
      <c r="H162" s="13">
        <v>55</v>
      </c>
      <c r="I162" s="13">
        <v>25.186</v>
      </c>
      <c r="J162" s="8">
        <v>44.594499999999996</v>
      </c>
      <c r="K162" s="8">
        <v>117.521</v>
      </c>
      <c r="L162" s="22">
        <f t="shared" si="0"/>
        <v>0.6856218247139243</v>
      </c>
      <c r="M162" s="22">
        <f t="shared" si="1"/>
        <v>-5.5749624622050931</v>
      </c>
      <c r="N162" s="22">
        <f t="shared" si="2"/>
        <v>37.490384153908394</v>
      </c>
    </row>
    <row r="163" spans="1:14" ht="16">
      <c r="A163" s="16" t="s">
        <v>46</v>
      </c>
      <c r="B163" s="16" t="s">
        <v>47</v>
      </c>
      <c r="C163" s="16">
        <v>95</v>
      </c>
      <c r="D163" s="16" t="s">
        <v>31</v>
      </c>
      <c r="E163" s="16">
        <v>33</v>
      </c>
      <c r="F163" s="16">
        <v>176</v>
      </c>
      <c r="G163" s="16">
        <v>71.436999999999998</v>
      </c>
      <c r="H163" s="16">
        <v>62</v>
      </c>
      <c r="I163" s="16">
        <v>32.833599999999997</v>
      </c>
      <c r="J163" s="8">
        <v>44.594499999999996</v>
      </c>
      <c r="K163" s="8">
        <v>117.521</v>
      </c>
      <c r="L163" s="22">
        <f t="shared" si="0"/>
        <v>0.6856218247139243</v>
      </c>
      <c r="M163" s="22">
        <f t="shared" si="1"/>
        <v>-5.5749624622050931</v>
      </c>
      <c r="N163" s="22">
        <f t="shared" si="2"/>
        <v>43.403803829883515</v>
      </c>
    </row>
    <row r="164" spans="1:14" ht="16">
      <c r="A164" s="16" t="s">
        <v>46</v>
      </c>
      <c r="B164" s="16" t="s">
        <v>47</v>
      </c>
      <c r="C164" s="16">
        <v>95</v>
      </c>
      <c r="D164" s="16" t="s">
        <v>32</v>
      </c>
      <c r="E164" s="16">
        <v>33</v>
      </c>
      <c r="F164" s="16">
        <v>188</v>
      </c>
      <c r="G164" s="16">
        <v>71.522300000000001</v>
      </c>
      <c r="H164" s="16">
        <v>62</v>
      </c>
      <c r="I164" s="16">
        <v>33.320999999999998</v>
      </c>
      <c r="J164" s="8">
        <v>44.594499999999996</v>
      </c>
      <c r="K164" s="8">
        <v>117.521</v>
      </c>
      <c r="L164" s="22">
        <f t="shared" si="0"/>
        <v>0.6856218247139243</v>
      </c>
      <c r="M164" s="22">
        <f t="shared" si="1"/>
        <v>-5.5749624622050931</v>
      </c>
      <c r="N164" s="22">
        <f t="shared" si="2"/>
        <v>43.462287371531616</v>
      </c>
    </row>
    <row r="165" spans="1:14" ht="16">
      <c r="A165" s="16" t="s">
        <v>46</v>
      </c>
      <c r="B165" s="16" t="s">
        <v>47</v>
      </c>
      <c r="C165" s="16">
        <v>95</v>
      </c>
      <c r="D165" s="16" t="s">
        <v>33</v>
      </c>
      <c r="E165" s="16">
        <v>33</v>
      </c>
      <c r="F165" s="16">
        <v>191</v>
      </c>
      <c r="G165" s="16">
        <v>71.700699999999998</v>
      </c>
      <c r="H165" s="16">
        <v>63</v>
      </c>
      <c r="I165" s="16">
        <v>32.601199999999999</v>
      </c>
      <c r="J165" s="8">
        <v>44.594499999999996</v>
      </c>
      <c r="K165" s="8">
        <v>117.521</v>
      </c>
      <c r="L165" s="22">
        <f t="shared" si="0"/>
        <v>0.6856218247139243</v>
      </c>
      <c r="M165" s="22">
        <f t="shared" si="1"/>
        <v>-5.5749624622050931</v>
      </c>
      <c r="N165" s="22">
        <f t="shared" si="2"/>
        <v>43.584602305060578</v>
      </c>
    </row>
    <row r="166" spans="1:14" ht="16">
      <c r="A166" s="16" t="s">
        <v>46</v>
      </c>
      <c r="B166" s="16" t="s">
        <v>47</v>
      </c>
      <c r="C166" s="16">
        <v>95</v>
      </c>
      <c r="D166" s="16" t="s">
        <v>34</v>
      </c>
      <c r="E166" s="16">
        <v>33</v>
      </c>
      <c r="F166" s="16">
        <v>174</v>
      </c>
      <c r="G166" s="16">
        <v>70.197599999999994</v>
      </c>
      <c r="H166" s="16">
        <v>62</v>
      </c>
      <c r="I166" s="16">
        <v>31.123699999999999</v>
      </c>
      <c r="J166" s="8">
        <v>44.594499999999996</v>
      </c>
      <c r="K166" s="8">
        <v>117.521</v>
      </c>
      <c r="L166" s="22">
        <f t="shared" si="0"/>
        <v>0.6856218247139243</v>
      </c>
      <c r="M166" s="22">
        <f t="shared" si="1"/>
        <v>-5.5749624622050931</v>
      </c>
      <c r="N166" s="22">
        <f t="shared" si="2"/>
        <v>42.554044140333076</v>
      </c>
    </row>
    <row r="167" spans="1:14" ht="16">
      <c r="A167" s="16" t="s">
        <v>46</v>
      </c>
      <c r="B167" s="16" t="s">
        <v>47</v>
      </c>
      <c r="C167" s="16">
        <v>95</v>
      </c>
      <c r="D167" s="16" t="s">
        <v>35</v>
      </c>
      <c r="E167" s="16">
        <v>33</v>
      </c>
      <c r="F167" s="16">
        <v>181</v>
      </c>
      <c r="G167" s="16">
        <v>69.497200000000007</v>
      </c>
      <c r="H167" s="16">
        <v>61</v>
      </c>
      <c r="I167" s="16">
        <v>30.934899999999999</v>
      </c>
      <c r="J167" s="8">
        <v>44.594499999999996</v>
      </c>
      <c r="K167" s="8">
        <v>117.521</v>
      </c>
      <c r="L167" s="22">
        <f t="shared" si="0"/>
        <v>0.6856218247139243</v>
      </c>
      <c r="M167" s="22">
        <f t="shared" si="1"/>
        <v>-5.5749624622050931</v>
      </c>
      <c r="N167" s="22">
        <f t="shared" si="2"/>
        <v>42.073834614303451</v>
      </c>
    </row>
    <row r="168" spans="1:14" ht="16">
      <c r="A168" s="6" t="s">
        <v>48</v>
      </c>
      <c r="B168" s="6" t="s">
        <v>49</v>
      </c>
      <c r="C168" s="6">
        <v>72.5</v>
      </c>
      <c r="D168" s="6" t="s">
        <v>21</v>
      </c>
      <c r="E168" s="6">
        <v>55</v>
      </c>
      <c r="F168" s="6">
        <v>195</v>
      </c>
      <c r="G168" s="6">
        <v>89.361999999999995</v>
      </c>
      <c r="H168" s="6">
        <v>84</v>
      </c>
      <c r="I168" s="6">
        <v>24.477799999999998</v>
      </c>
      <c r="J168" s="8">
        <v>49.546300000000002</v>
      </c>
      <c r="K168" s="8">
        <v>122.44</v>
      </c>
      <c r="L168" s="22">
        <f t="shared" si="0"/>
        <v>0.68593033417154026</v>
      </c>
      <c r="M168" s="22">
        <f t="shared" si="1"/>
        <v>-8.9853101159633866</v>
      </c>
      <c r="N168" s="22">
        <f t="shared" si="2"/>
        <v>52.310796406273788</v>
      </c>
    </row>
    <row r="169" spans="1:14" ht="16">
      <c r="A169" s="6" t="s">
        <v>48</v>
      </c>
      <c r="B169" s="6" t="s">
        <v>49</v>
      </c>
      <c r="C169" s="6">
        <v>72.5</v>
      </c>
      <c r="D169" s="6" t="s">
        <v>22</v>
      </c>
      <c r="E169" s="6">
        <v>55</v>
      </c>
      <c r="F169" s="6">
        <v>190</v>
      </c>
      <c r="G169" s="6">
        <v>85.865499999999997</v>
      </c>
      <c r="H169" s="6">
        <v>79</v>
      </c>
      <c r="I169" s="6">
        <v>23.552800000000001</v>
      </c>
      <c r="J169" s="8">
        <v>49.546300000000002</v>
      </c>
      <c r="K169" s="8">
        <v>122.44</v>
      </c>
      <c r="L169" s="22">
        <f t="shared" si="0"/>
        <v>0.68593033417154026</v>
      </c>
      <c r="M169" s="22">
        <f t="shared" si="1"/>
        <v>-8.9853101159633866</v>
      </c>
      <c r="N169" s="22">
        <f t="shared" si="2"/>
        <v>49.912440992843003</v>
      </c>
    </row>
    <row r="170" spans="1:14" ht="16">
      <c r="A170" s="6" t="s">
        <v>48</v>
      </c>
      <c r="B170" s="6" t="s">
        <v>49</v>
      </c>
      <c r="C170" s="6">
        <v>72.5</v>
      </c>
      <c r="D170" s="6" t="s">
        <v>23</v>
      </c>
      <c r="E170" s="6">
        <v>48</v>
      </c>
      <c r="F170" s="6">
        <v>181</v>
      </c>
      <c r="G170" s="6">
        <v>83.463999999999999</v>
      </c>
      <c r="H170" s="6">
        <v>78</v>
      </c>
      <c r="I170" s="6">
        <v>21.704699999999999</v>
      </c>
      <c r="J170" s="8">
        <v>49.546300000000002</v>
      </c>
      <c r="K170" s="8">
        <v>122.44</v>
      </c>
      <c r="L170" s="22">
        <f t="shared" si="0"/>
        <v>0.68593033417154026</v>
      </c>
      <c r="M170" s="22">
        <f t="shared" si="1"/>
        <v>-8.9853101159633866</v>
      </c>
      <c r="N170" s="22">
        <f t="shared" si="2"/>
        <v>48.26517929533005</v>
      </c>
    </row>
    <row r="171" spans="1:14" ht="16">
      <c r="A171" s="6" t="s">
        <v>48</v>
      </c>
      <c r="B171" s="6" t="s">
        <v>49</v>
      </c>
      <c r="C171" s="6">
        <v>72.5</v>
      </c>
      <c r="D171" s="6" t="s">
        <v>24</v>
      </c>
      <c r="E171" s="6">
        <v>41</v>
      </c>
      <c r="F171" s="6">
        <v>179</v>
      </c>
      <c r="G171" s="6">
        <v>81.414100000000005</v>
      </c>
      <c r="H171" s="6">
        <v>76</v>
      </c>
      <c r="I171" s="6">
        <v>20.789200000000001</v>
      </c>
      <c r="J171" s="8">
        <v>49.546300000000002</v>
      </c>
      <c r="K171" s="8">
        <v>122.44</v>
      </c>
      <c r="L171" s="22">
        <f t="shared" si="0"/>
        <v>0.68593033417154026</v>
      </c>
      <c r="M171" s="22">
        <f t="shared" si="1"/>
        <v>-8.9853101159633866</v>
      </c>
      <c r="N171" s="22">
        <f t="shared" si="2"/>
        <v>46.859090703311814</v>
      </c>
    </row>
    <row r="172" spans="1:14" ht="16">
      <c r="A172" s="6" t="s">
        <v>48</v>
      </c>
      <c r="B172" s="6" t="s">
        <v>49</v>
      </c>
      <c r="C172" s="6">
        <v>72.5</v>
      </c>
      <c r="D172" s="6" t="s">
        <v>25</v>
      </c>
      <c r="E172" s="6">
        <v>49</v>
      </c>
      <c r="F172" s="6">
        <v>167</v>
      </c>
      <c r="G172" s="6">
        <v>80.845100000000002</v>
      </c>
      <c r="H172" s="6">
        <v>75</v>
      </c>
      <c r="I172" s="6">
        <v>19.768799999999999</v>
      </c>
      <c r="J172" s="8">
        <v>49.546300000000002</v>
      </c>
      <c r="K172" s="8">
        <v>122.44</v>
      </c>
      <c r="L172" s="22">
        <f t="shared" si="0"/>
        <v>0.68593033417154026</v>
      </c>
      <c r="M172" s="22">
        <f t="shared" si="1"/>
        <v>-8.9853101159633866</v>
      </c>
      <c r="N172" s="22">
        <f t="shared" si="2"/>
        <v>46.468796343168201</v>
      </c>
    </row>
    <row r="173" spans="1:14" ht="16">
      <c r="A173" s="13" t="s">
        <v>48</v>
      </c>
      <c r="B173" s="13" t="s">
        <v>49</v>
      </c>
      <c r="C173" s="13">
        <v>72.5</v>
      </c>
      <c r="D173" s="13" t="s">
        <v>26</v>
      </c>
      <c r="E173" s="13">
        <v>37</v>
      </c>
      <c r="F173" s="13">
        <v>130</v>
      </c>
      <c r="G173" s="13">
        <v>66.127300000000005</v>
      </c>
      <c r="H173" s="13">
        <v>62</v>
      </c>
      <c r="I173" s="13">
        <v>17.256</v>
      </c>
      <c r="J173" s="8">
        <v>49.546300000000002</v>
      </c>
      <c r="K173" s="8">
        <v>122.44</v>
      </c>
      <c r="L173" s="22">
        <f t="shared" si="0"/>
        <v>0.68593033417154026</v>
      </c>
      <c r="M173" s="22">
        <f t="shared" si="1"/>
        <v>-8.9853101159633866</v>
      </c>
      <c r="N173" s="22">
        <f t="shared" si="2"/>
        <v>36.373410870898311</v>
      </c>
    </row>
    <row r="174" spans="1:14" ht="16">
      <c r="A174" s="13" t="s">
        <v>48</v>
      </c>
      <c r="B174" s="13" t="s">
        <v>49</v>
      </c>
      <c r="C174" s="13">
        <v>72.5</v>
      </c>
      <c r="D174" s="13" t="s">
        <v>27</v>
      </c>
      <c r="E174" s="13">
        <v>43</v>
      </c>
      <c r="F174" s="13">
        <v>130</v>
      </c>
      <c r="G174" s="13">
        <v>66.916399999999996</v>
      </c>
      <c r="H174" s="13">
        <v>63</v>
      </c>
      <c r="I174" s="13">
        <v>17.743099999999998</v>
      </c>
      <c r="J174" s="8">
        <v>49.546300000000002</v>
      </c>
      <c r="K174" s="8">
        <v>122.44</v>
      </c>
      <c r="L174" s="22">
        <f t="shared" si="0"/>
        <v>0.68593033417154026</v>
      </c>
      <c r="M174" s="22">
        <f t="shared" si="1"/>
        <v>-8.9853101159633866</v>
      </c>
      <c r="N174" s="22">
        <f t="shared" si="2"/>
        <v>36.914678497593066</v>
      </c>
    </row>
    <row r="175" spans="1:14" ht="16">
      <c r="A175" s="13" t="s">
        <v>48</v>
      </c>
      <c r="B175" s="13" t="s">
        <v>49</v>
      </c>
      <c r="C175" s="13">
        <v>72.5</v>
      </c>
      <c r="D175" s="13" t="s">
        <v>28</v>
      </c>
      <c r="E175" s="13">
        <v>43</v>
      </c>
      <c r="F175" s="13">
        <v>133</v>
      </c>
      <c r="G175" s="13">
        <v>66.645700000000005</v>
      </c>
      <c r="H175" s="13">
        <v>63</v>
      </c>
      <c r="I175" s="13">
        <v>17.776700000000002</v>
      </c>
      <c r="J175" s="8">
        <v>49.546300000000002</v>
      </c>
      <c r="K175" s="8">
        <v>122.44</v>
      </c>
      <c r="L175" s="22">
        <f t="shared" si="0"/>
        <v>0.68593033417154026</v>
      </c>
      <c r="M175" s="22">
        <f t="shared" si="1"/>
        <v>-8.9853101159633866</v>
      </c>
      <c r="N175" s="22">
        <f t="shared" si="2"/>
        <v>36.728997156132834</v>
      </c>
    </row>
    <row r="176" spans="1:14" ht="16">
      <c r="A176" s="13" t="s">
        <v>48</v>
      </c>
      <c r="B176" s="13" t="s">
        <v>49</v>
      </c>
      <c r="C176" s="13">
        <v>72.5</v>
      </c>
      <c r="D176" s="13" t="s">
        <v>29</v>
      </c>
      <c r="E176" s="13">
        <v>43</v>
      </c>
      <c r="F176" s="13">
        <v>128</v>
      </c>
      <c r="G176" s="13">
        <v>66.758799999999994</v>
      </c>
      <c r="H176" s="13">
        <v>62</v>
      </c>
      <c r="I176" s="13">
        <v>17.889299999999999</v>
      </c>
      <c r="J176" s="8">
        <v>49.546300000000002</v>
      </c>
      <c r="K176" s="8">
        <v>122.44</v>
      </c>
      <c r="L176" s="22">
        <f t="shared" si="0"/>
        <v>0.68593033417154026</v>
      </c>
      <c r="M176" s="22">
        <f t="shared" si="1"/>
        <v>-8.9853101159633866</v>
      </c>
      <c r="N176" s="22">
        <f t="shared" si="2"/>
        <v>36.806575876927631</v>
      </c>
    </row>
    <row r="177" spans="1:14" ht="16">
      <c r="A177" s="13" t="s">
        <v>48</v>
      </c>
      <c r="B177" s="13" t="s">
        <v>49</v>
      </c>
      <c r="C177" s="13">
        <v>72.5</v>
      </c>
      <c r="D177" s="13" t="s">
        <v>30</v>
      </c>
      <c r="E177" s="13">
        <v>43</v>
      </c>
      <c r="F177" s="13">
        <v>113</v>
      </c>
      <c r="G177" s="13">
        <v>65.709199999999996</v>
      </c>
      <c r="H177" s="13">
        <v>62</v>
      </c>
      <c r="I177" s="13">
        <v>16.8078</v>
      </c>
      <c r="J177" s="8">
        <v>49.546300000000002</v>
      </c>
      <c r="K177" s="8">
        <v>122.44</v>
      </c>
      <c r="L177" s="22">
        <f t="shared" si="0"/>
        <v>0.68593033417154026</v>
      </c>
      <c r="M177" s="22">
        <f t="shared" si="1"/>
        <v>-8.9853101159633866</v>
      </c>
      <c r="N177" s="22">
        <f t="shared" si="2"/>
        <v>36.086623398181182</v>
      </c>
    </row>
    <row r="178" spans="1:14" ht="16">
      <c r="A178" s="16" t="s">
        <v>48</v>
      </c>
      <c r="B178" s="16" t="s">
        <v>49</v>
      </c>
      <c r="C178" s="16">
        <v>72.5</v>
      </c>
      <c r="D178" s="16" t="s">
        <v>31</v>
      </c>
      <c r="E178" s="16">
        <v>57</v>
      </c>
      <c r="F178" s="16">
        <v>194</v>
      </c>
      <c r="G178" s="16">
        <v>101.113</v>
      </c>
      <c r="H178" s="16">
        <v>97</v>
      </c>
      <c r="I178" s="16">
        <v>29.8934</v>
      </c>
      <c r="J178" s="8">
        <v>49.546300000000002</v>
      </c>
      <c r="K178" s="8">
        <v>122.44</v>
      </c>
      <c r="L178" s="22">
        <f t="shared" si="0"/>
        <v>0.68593033417154026</v>
      </c>
      <c r="M178" s="22">
        <f t="shared" si="1"/>
        <v>-8.9853101159633866</v>
      </c>
      <c r="N178" s="22">
        <f t="shared" si="2"/>
        <v>60.371163763123562</v>
      </c>
    </row>
    <row r="179" spans="1:14" ht="16">
      <c r="A179" s="16" t="s">
        <v>48</v>
      </c>
      <c r="B179" s="16" t="s">
        <v>49</v>
      </c>
      <c r="C179" s="16">
        <v>72.5</v>
      </c>
      <c r="D179" s="16" t="s">
        <v>32</v>
      </c>
      <c r="E179" s="16">
        <v>57</v>
      </c>
      <c r="F179" s="16">
        <v>187</v>
      </c>
      <c r="G179" s="16">
        <v>99.098600000000005</v>
      </c>
      <c r="H179" s="16">
        <v>95</v>
      </c>
      <c r="I179" s="16">
        <v>28.744599999999998</v>
      </c>
      <c r="J179" s="8">
        <v>49.546300000000002</v>
      </c>
      <c r="K179" s="8">
        <v>122.44</v>
      </c>
      <c r="L179" s="22">
        <f t="shared" si="0"/>
        <v>0.68593033417154026</v>
      </c>
      <c r="M179" s="22">
        <f t="shared" si="1"/>
        <v>-8.9853101159633866</v>
      </c>
      <c r="N179" s="22">
        <f t="shared" si="2"/>
        <v>58.989425697968414</v>
      </c>
    </row>
    <row r="180" spans="1:14" ht="16">
      <c r="A180" s="16" t="s">
        <v>48</v>
      </c>
      <c r="B180" s="16" t="s">
        <v>49</v>
      </c>
      <c r="C180" s="16">
        <v>72.5</v>
      </c>
      <c r="D180" s="16" t="s">
        <v>33</v>
      </c>
      <c r="E180" s="16">
        <v>57</v>
      </c>
      <c r="F180" s="16">
        <v>185</v>
      </c>
      <c r="G180" s="16">
        <v>96.644800000000004</v>
      </c>
      <c r="H180" s="16">
        <v>92</v>
      </c>
      <c r="I180" s="16">
        <v>27.595300000000002</v>
      </c>
      <c r="J180" s="8">
        <v>49.546300000000002</v>
      </c>
      <c r="K180" s="8">
        <v>122.44</v>
      </c>
      <c r="L180" s="22">
        <f t="shared" si="0"/>
        <v>0.68593033417154026</v>
      </c>
      <c r="M180" s="22">
        <f t="shared" si="1"/>
        <v>-8.9853101159633866</v>
      </c>
      <c r="N180" s="22">
        <f t="shared" si="2"/>
        <v>57.306289843978291</v>
      </c>
    </row>
    <row r="181" spans="1:14" ht="16">
      <c r="A181" s="16" t="s">
        <v>48</v>
      </c>
      <c r="B181" s="16" t="s">
        <v>49</v>
      </c>
      <c r="C181" s="16">
        <v>72.5</v>
      </c>
      <c r="D181" s="16" t="s">
        <v>34</v>
      </c>
      <c r="E181" s="16">
        <v>57</v>
      </c>
      <c r="F181" s="16">
        <v>184</v>
      </c>
      <c r="G181" s="16">
        <v>96.313000000000002</v>
      </c>
      <c r="H181" s="16">
        <v>92</v>
      </c>
      <c r="I181" s="16">
        <v>27.378499999999999</v>
      </c>
      <c r="J181" s="8">
        <v>49.546300000000002</v>
      </c>
      <c r="K181" s="8">
        <v>122.44</v>
      </c>
      <c r="L181" s="22">
        <f t="shared" si="0"/>
        <v>0.68593033417154026</v>
      </c>
      <c r="M181" s="22">
        <f t="shared" si="1"/>
        <v>-8.9853101159633866</v>
      </c>
      <c r="N181" s="22">
        <f t="shared" si="2"/>
        <v>57.078698159100171</v>
      </c>
    </row>
    <row r="182" spans="1:14" ht="16">
      <c r="A182" s="16" t="s">
        <v>48</v>
      </c>
      <c r="B182" s="16" t="s">
        <v>49</v>
      </c>
      <c r="C182" s="16">
        <v>72.5</v>
      </c>
      <c r="D182" s="16" t="s">
        <v>35</v>
      </c>
      <c r="E182" s="16">
        <v>57</v>
      </c>
      <c r="F182" s="16">
        <v>183</v>
      </c>
      <c r="G182" s="16">
        <v>95.579499999999996</v>
      </c>
      <c r="H182" s="16">
        <v>90</v>
      </c>
      <c r="I182" s="16">
        <v>27.280799999999999</v>
      </c>
      <c r="J182" s="8">
        <v>49.546300000000002</v>
      </c>
      <c r="K182" s="8">
        <v>122.44</v>
      </c>
      <c r="L182" s="22">
        <f t="shared" si="0"/>
        <v>0.68593033417154026</v>
      </c>
      <c r="M182" s="22">
        <f t="shared" si="1"/>
        <v>-8.9853101159633866</v>
      </c>
      <c r="N182" s="22">
        <f t="shared" si="2"/>
        <v>56.575568258985342</v>
      </c>
    </row>
    <row r="183" spans="1:14" ht="16">
      <c r="A183" s="6" t="s">
        <v>50</v>
      </c>
      <c r="B183" s="6" t="s">
        <v>51</v>
      </c>
      <c r="C183" s="6">
        <v>59.2</v>
      </c>
      <c r="D183" s="6" t="s">
        <v>21</v>
      </c>
      <c r="E183" s="6">
        <v>56</v>
      </c>
      <c r="F183" s="6">
        <v>185</v>
      </c>
      <c r="G183" s="6">
        <v>92.424199999999999</v>
      </c>
      <c r="H183" s="6">
        <v>88</v>
      </c>
      <c r="I183" s="6">
        <v>26.017900000000001</v>
      </c>
      <c r="J183" s="45">
        <v>53.4116</v>
      </c>
      <c r="K183" s="45">
        <v>153.291</v>
      </c>
      <c r="L183" s="22">
        <f t="shared" si="0"/>
        <v>0.50060372809608389</v>
      </c>
      <c r="M183" s="22">
        <f t="shared" si="1"/>
        <v>-1.7380460835767941</v>
      </c>
      <c r="N183" s="22">
        <f t="shared" si="2"/>
        <v>44.529853002721282</v>
      </c>
    </row>
    <row r="184" spans="1:14" ht="16">
      <c r="A184" s="6" t="s">
        <v>50</v>
      </c>
      <c r="B184" s="6" t="s">
        <v>51</v>
      </c>
      <c r="C184" s="6">
        <v>59.2</v>
      </c>
      <c r="D184" s="6" t="s">
        <v>22</v>
      </c>
      <c r="E184" s="6">
        <v>56</v>
      </c>
      <c r="F184" s="6">
        <v>192</v>
      </c>
      <c r="G184" s="6">
        <v>89.144499999999994</v>
      </c>
      <c r="H184" s="6">
        <v>84</v>
      </c>
      <c r="I184" s="6">
        <v>24.6206</v>
      </c>
      <c r="J184" s="45">
        <v>53.4116</v>
      </c>
      <c r="K184" s="45">
        <v>153.291</v>
      </c>
      <c r="L184" s="22">
        <f t="shared" si="0"/>
        <v>0.50060372809608389</v>
      </c>
      <c r="M184" s="22">
        <f t="shared" si="1"/>
        <v>-1.7380460835767941</v>
      </c>
      <c r="N184" s="22">
        <f t="shared" si="2"/>
        <v>42.888022955684548</v>
      </c>
    </row>
    <row r="185" spans="1:14" ht="16">
      <c r="A185" s="6" t="s">
        <v>50</v>
      </c>
      <c r="B185" s="6" t="s">
        <v>51</v>
      </c>
      <c r="C185" s="6">
        <v>59.2</v>
      </c>
      <c r="D185" s="6" t="s">
        <v>23</v>
      </c>
      <c r="E185" s="6">
        <v>56</v>
      </c>
      <c r="F185" s="6">
        <v>190</v>
      </c>
      <c r="G185" s="6">
        <v>86.292199999999994</v>
      </c>
      <c r="H185" s="6">
        <v>80</v>
      </c>
      <c r="I185" s="6">
        <v>23.670999999999999</v>
      </c>
      <c r="J185" s="45">
        <v>53.4116</v>
      </c>
      <c r="K185" s="45">
        <v>153.291</v>
      </c>
      <c r="L185" s="22">
        <f t="shared" si="0"/>
        <v>0.50060372809608389</v>
      </c>
      <c r="M185" s="22">
        <f t="shared" si="1"/>
        <v>-1.7380460835767941</v>
      </c>
      <c r="N185" s="22">
        <f t="shared" si="2"/>
        <v>41.460150942036094</v>
      </c>
    </row>
    <row r="186" spans="1:14" ht="16">
      <c r="A186" s="6" t="s">
        <v>50</v>
      </c>
      <c r="B186" s="6" t="s">
        <v>51</v>
      </c>
      <c r="C186" s="6">
        <v>59.2</v>
      </c>
      <c r="D186" s="6" t="s">
        <v>24</v>
      </c>
      <c r="E186" s="6">
        <v>56</v>
      </c>
      <c r="F186" s="6">
        <v>170</v>
      </c>
      <c r="G186" s="6">
        <v>83.701599999999999</v>
      </c>
      <c r="H186" s="6">
        <v>78</v>
      </c>
      <c r="I186" s="6">
        <v>21.648700000000002</v>
      </c>
      <c r="J186" s="45">
        <v>53.4116</v>
      </c>
      <c r="K186" s="45">
        <v>153.291</v>
      </c>
      <c r="L186" s="22">
        <f t="shared" si="0"/>
        <v>0.50060372809608389</v>
      </c>
      <c r="M186" s="22">
        <f t="shared" si="1"/>
        <v>-1.7380460835767941</v>
      </c>
      <c r="N186" s="22">
        <f t="shared" si="2"/>
        <v>40.163286924030388</v>
      </c>
    </row>
    <row r="187" spans="1:14" ht="16">
      <c r="A187" s="6" t="s">
        <v>50</v>
      </c>
      <c r="B187" s="6" t="s">
        <v>51</v>
      </c>
      <c r="C187" s="6">
        <v>59.2</v>
      </c>
      <c r="D187" s="6" t="s">
        <v>25</v>
      </c>
      <c r="E187" s="6">
        <v>56</v>
      </c>
      <c r="F187" s="6">
        <v>164</v>
      </c>
      <c r="G187" s="6">
        <v>82.764799999999994</v>
      </c>
      <c r="H187" s="6">
        <v>78</v>
      </c>
      <c r="I187" s="6">
        <v>20.551400000000001</v>
      </c>
      <c r="J187" s="45">
        <v>53.4116</v>
      </c>
      <c r="K187" s="45">
        <v>153.291</v>
      </c>
      <c r="L187" s="22">
        <f t="shared" si="0"/>
        <v>0.50060372809608389</v>
      </c>
      <c r="M187" s="22">
        <f t="shared" si="1"/>
        <v>-1.7380460835767941</v>
      </c>
      <c r="N187" s="22">
        <f t="shared" si="2"/>
        <v>39.694321351549974</v>
      </c>
    </row>
    <row r="188" spans="1:14" ht="16">
      <c r="A188" s="13" t="s">
        <v>50</v>
      </c>
      <c r="B188" s="13" t="s">
        <v>51</v>
      </c>
      <c r="C188" s="13">
        <v>59.2</v>
      </c>
      <c r="D188" s="13" t="s">
        <v>52</v>
      </c>
      <c r="E188" s="13">
        <v>61</v>
      </c>
      <c r="F188" s="13">
        <v>143</v>
      </c>
      <c r="G188" s="13">
        <v>80.590699999999998</v>
      </c>
      <c r="H188" s="13">
        <v>77</v>
      </c>
      <c r="I188" s="13">
        <v>14.142300000000001</v>
      </c>
      <c r="J188" s="45">
        <v>53.4116</v>
      </c>
      <c r="K188" s="45">
        <v>153.291</v>
      </c>
      <c r="L188" s="22">
        <f t="shared" si="0"/>
        <v>0.50060372809608389</v>
      </c>
      <c r="M188" s="22">
        <f t="shared" si="1"/>
        <v>-1.7380460835767941</v>
      </c>
      <c r="N188" s="22">
        <f t="shared" si="2"/>
        <v>38.60595878629627</v>
      </c>
    </row>
    <row r="189" spans="1:14" ht="16">
      <c r="A189" s="13" t="s">
        <v>50</v>
      </c>
      <c r="B189" s="13" t="s">
        <v>51</v>
      </c>
      <c r="C189" s="13">
        <v>59.2</v>
      </c>
      <c r="D189" s="13" t="s">
        <v>27</v>
      </c>
      <c r="E189" s="13">
        <v>61</v>
      </c>
      <c r="F189" s="13">
        <v>141</v>
      </c>
      <c r="G189" s="13">
        <v>80.681100000000001</v>
      </c>
      <c r="H189" s="13">
        <v>77</v>
      </c>
      <c r="I189" s="13">
        <v>14.3157</v>
      </c>
      <c r="J189" s="45">
        <v>53.4116</v>
      </c>
      <c r="K189" s="45">
        <v>153.291</v>
      </c>
      <c r="L189" s="22">
        <f t="shared" si="0"/>
        <v>0.50060372809608389</v>
      </c>
      <c r="M189" s="22">
        <f t="shared" si="1"/>
        <v>-1.7380460835767941</v>
      </c>
      <c r="N189" s="22">
        <f t="shared" si="2"/>
        <v>38.65121336331616</v>
      </c>
    </row>
    <row r="190" spans="1:14" ht="16">
      <c r="A190" s="13" t="s">
        <v>50</v>
      </c>
      <c r="B190" s="13" t="s">
        <v>51</v>
      </c>
      <c r="C190" s="13">
        <v>59.2</v>
      </c>
      <c r="D190" s="13" t="s">
        <v>28</v>
      </c>
      <c r="E190" s="13">
        <v>61</v>
      </c>
      <c r="F190" s="13">
        <v>145</v>
      </c>
      <c r="G190" s="13">
        <v>80.871600000000001</v>
      </c>
      <c r="H190" s="13">
        <v>77</v>
      </c>
      <c r="I190" s="13">
        <v>14.574999999999999</v>
      </c>
      <c r="J190" s="45">
        <v>53.4116</v>
      </c>
      <c r="K190" s="45">
        <v>153.291</v>
      </c>
      <c r="L190" s="22">
        <f t="shared" si="0"/>
        <v>0.50060372809608389</v>
      </c>
      <c r="M190" s="22">
        <f t="shared" si="1"/>
        <v>-1.7380460835767941</v>
      </c>
      <c r="N190" s="22">
        <f t="shared" si="2"/>
        <v>38.74657837351846</v>
      </c>
    </row>
    <row r="191" spans="1:14" ht="16">
      <c r="A191" s="13" t="s">
        <v>50</v>
      </c>
      <c r="B191" s="13" t="s">
        <v>51</v>
      </c>
      <c r="C191" s="13">
        <v>59.2</v>
      </c>
      <c r="D191" s="13" t="s">
        <v>29</v>
      </c>
      <c r="E191" s="13">
        <v>61</v>
      </c>
      <c r="F191" s="13">
        <v>142</v>
      </c>
      <c r="G191" s="13">
        <v>81.062899999999999</v>
      </c>
      <c r="H191" s="13">
        <v>78</v>
      </c>
      <c r="I191" s="13">
        <v>14.518599999999999</v>
      </c>
      <c r="J191" s="45">
        <v>53.4116</v>
      </c>
      <c r="K191" s="45">
        <v>153.291</v>
      </c>
      <c r="L191" s="22">
        <f t="shared" si="0"/>
        <v>0.50060372809608389</v>
      </c>
      <c r="M191" s="22">
        <f t="shared" si="1"/>
        <v>-1.7380460835767941</v>
      </c>
      <c r="N191" s="22">
        <f t="shared" si="2"/>
        <v>38.842343866703246</v>
      </c>
    </row>
    <row r="192" spans="1:14" ht="16">
      <c r="A192" s="13" t="s">
        <v>50</v>
      </c>
      <c r="B192" s="13" t="s">
        <v>51</v>
      </c>
      <c r="C192" s="13">
        <v>59.2</v>
      </c>
      <c r="D192" s="13" t="s">
        <v>30</v>
      </c>
      <c r="E192" s="13">
        <v>61</v>
      </c>
      <c r="F192" s="13">
        <v>145</v>
      </c>
      <c r="G192" s="13">
        <v>81.212000000000003</v>
      </c>
      <c r="H192" s="13">
        <v>78</v>
      </c>
      <c r="I192" s="13">
        <v>14.5708</v>
      </c>
      <c r="J192" s="45">
        <v>53.4116</v>
      </c>
      <c r="K192" s="45">
        <v>153.291</v>
      </c>
      <c r="L192" s="22">
        <f t="shared" si="0"/>
        <v>0.50060372809608389</v>
      </c>
      <c r="M192" s="22">
        <f t="shared" si="1"/>
        <v>-1.7380460835767941</v>
      </c>
      <c r="N192" s="22">
        <f t="shared" si="2"/>
        <v>38.916983882562377</v>
      </c>
    </row>
    <row r="193" spans="1:14" ht="16">
      <c r="A193" s="16" t="s">
        <v>50</v>
      </c>
      <c r="B193" s="16" t="s">
        <v>51</v>
      </c>
      <c r="C193" s="16">
        <v>59.2</v>
      </c>
      <c r="D193" s="16" t="s">
        <v>53</v>
      </c>
      <c r="E193" s="16">
        <v>61</v>
      </c>
      <c r="F193" s="16">
        <v>155</v>
      </c>
      <c r="G193" s="16">
        <v>87.018500000000003</v>
      </c>
      <c r="H193" s="16">
        <v>83</v>
      </c>
      <c r="I193" s="16">
        <v>18.664999999999999</v>
      </c>
      <c r="J193" s="45">
        <v>53.4116</v>
      </c>
      <c r="K193" s="45">
        <v>153.291</v>
      </c>
      <c r="L193" s="22">
        <f t="shared" si="0"/>
        <v>0.50060372809608389</v>
      </c>
      <c r="M193" s="22">
        <f t="shared" si="1"/>
        <v>-1.7380460835767941</v>
      </c>
      <c r="N193" s="22">
        <f t="shared" si="2"/>
        <v>41.82373942975228</v>
      </c>
    </row>
    <row r="194" spans="1:14" ht="16">
      <c r="A194" s="16" t="s">
        <v>50</v>
      </c>
      <c r="B194" s="16" t="s">
        <v>51</v>
      </c>
      <c r="C194" s="16">
        <v>59.2</v>
      </c>
      <c r="D194" s="16" t="s">
        <v>32</v>
      </c>
      <c r="E194" s="16">
        <v>61</v>
      </c>
      <c r="F194" s="16">
        <v>175</v>
      </c>
      <c r="G194" s="16">
        <v>88.167000000000002</v>
      </c>
      <c r="H194" s="16">
        <v>84</v>
      </c>
      <c r="I194" s="16">
        <v>19.648399999999999</v>
      </c>
      <c r="J194" s="45">
        <v>53.4116</v>
      </c>
      <c r="K194" s="45">
        <v>153.291</v>
      </c>
      <c r="L194" s="22">
        <f t="shared" si="0"/>
        <v>0.50060372809608389</v>
      </c>
      <c r="M194" s="22">
        <f t="shared" si="1"/>
        <v>-1.7380460835767941</v>
      </c>
      <c r="N194" s="22">
        <f t="shared" si="2"/>
        <v>42.398682811470636</v>
      </c>
    </row>
    <row r="195" spans="1:14" ht="16">
      <c r="A195" s="16" t="s">
        <v>50</v>
      </c>
      <c r="B195" s="16" t="s">
        <v>51</v>
      </c>
      <c r="C195" s="16">
        <v>59.2</v>
      </c>
      <c r="D195" s="16" t="s">
        <v>33</v>
      </c>
      <c r="E195" s="16">
        <v>61</v>
      </c>
      <c r="F195" s="16">
        <v>170</v>
      </c>
      <c r="G195" s="16">
        <v>90.195700000000002</v>
      </c>
      <c r="H195" s="16">
        <v>85</v>
      </c>
      <c r="I195" s="16">
        <v>21.4223</v>
      </c>
      <c r="J195" s="45">
        <v>53.4116</v>
      </c>
      <c r="K195" s="45">
        <v>153.291</v>
      </c>
      <c r="L195" s="22">
        <f t="shared" si="0"/>
        <v>0.50060372809608389</v>
      </c>
      <c r="M195" s="22">
        <f t="shared" si="1"/>
        <v>-1.7380460835767941</v>
      </c>
      <c r="N195" s="22">
        <f t="shared" si="2"/>
        <v>43.414257594659162</v>
      </c>
    </row>
    <row r="196" spans="1:14" ht="16">
      <c r="A196" s="16" t="s">
        <v>50</v>
      </c>
      <c r="B196" s="16" t="s">
        <v>51</v>
      </c>
      <c r="C196" s="16">
        <v>59.2</v>
      </c>
      <c r="D196" s="16" t="s">
        <v>34</v>
      </c>
      <c r="E196" s="16">
        <v>61</v>
      </c>
      <c r="F196" s="16">
        <v>183</v>
      </c>
      <c r="G196" s="16">
        <v>93.182900000000004</v>
      </c>
      <c r="H196" s="16">
        <v>88</v>
      </c>
      <c r="I196" s="16">
        <v>23.767600000000002</v>
      </c>
      <c r="J196" s="45">
        <v>53.4116</v>
      </c>
      <c r="K196" s="45">
        <v>153.291</v>
      </c>
      <c r="L196" s="22">
        <f t="shared" si="0"/>
        <v>0.50060372809608389</v>
      </c>
      <c r="M196" s="22">
        <f t="shared" si="1"/>
        <v>-1.7380460835767941</v>
      </c>
      <c r="N196" s="22">
        <f t="shared" si="2"/>
        <v>44.909661051227786</v>
      </c>
    </row>
    <row r="197" spans="1:14" ht="16">
      <c r="A197" s="16" t="s">
        <v>50</v>
      </c>
      <c r="B197" s="16" t="s">
        <v>51</v>
      </c>
      <c r="C197" s="16">
        <v>59.2</v>
      </c>
      <c r="D197" s="16" t="s">
        <v>35</v>
      </c>
      <c r="E197" s="16">
        <v>61</v>
      </c>
      <c r="F197" s="16">
        <v>197</v>
      </c>
      <c r="G197" s="16">
        <v>93.822400000000002</v>
      </c>
      <c r="H197" s="16">
        <v>89</v>
      </c>
      <c r="I197" s="16">
        <v>24.262599999999999</v>
      </c>
      <c r="J197" s="45">
        <v>53.4116</v>
      </c>
      <c r="K197" s="45">
        <v>153.291</v>
      </c>
      <c r="L197" s="22">
        <f t="shared" si="0"/>
        <v>0.50060372809608389</v>
      </c>
      <c r="M197" s="22">
        <f t="shared" si="1"/>
        <v>-1.7380460835767941</v>
      </c>
      <c r="N197" s="22">
        <f t="shared" si="2"/>
        <v>45.229797135345223</v>
      </c>
    </row>
    <row r="198" spans="1:14" ht="16">
      <c r="A198" s="6" t="s">
        <v>50</v>
      </c>
      <c r="B198" s="6" t="s">
        <v>62</v>
      </c>
      <c r="C198" s="6">
        <v>55</v>
      </c>
      <c r="D198" s="6" t="s">
        <v>21</v>
      </c>
      <c r="E198" s="6">
        <v>61</v>
      </c>
      <c r="F198" s="6">
        <v>198</v>
      </c>
      <c r="G198" s="6">
        <v>96.353200000000001</v>
      </c>
      <c r="H198" s="6">
        <v>90</v>
      </c>
      <c r="I198" s="6">
        <v>25.951599999999999</v>
      </c>
      <c r="J198" s="45">
        <v>53.4116</v>
      </c>
      <c r="K198" s="45">
        <v>153.291</v>
      </c>
      <c r="L198" s="22">
        <f t="shared" si="0"/>
        <v>0.50060372809608389</v>
      </c>
      <c r="M198" s="22">
        <f t="shared" si="1"/>
        <v>-1.7380460835767941</v>
      </c>
      <c r="N198" s="22">
        <f t="shared" si="2"/>
        <v>46.496725050410802</v>
      </c>
    </row>
    <row r="199" spans="1:14" ht="16">
      <c r="A199" s="6" t="s">
        <v>50</v>
      </c>
      <c r="B199" s="6" t="s">
        <v>62</v>
      </c>
      <c r="C199" s="6">
        <v>55</v>
      </c>
      <c r="D199" s="6" t="s">
        <v>22</v>
      </c>
      <c r="E199" s="6">
        <v>61</v>
      </c>
      <c r="F199" s="6">
        <v>212</v>
      </c>
      <c r="G199" s="6">
        <v>94.100899999999996</v>
      </c>
      <c r="H199" s="6">
        <v>89</v>
      </c>
      <c r="I199" s="6">
        <v>24.543500000000002</v>
      </c>
      <c r="J199" s="45">
        <v>53.4116</v>
      </c>
      <c r="K199" s="45">
        <v>153.291</v>
      </c>
      <c r="L199" s="22">
        <f t="shared" si="0"/>
        <v>0.50060372809608389</v>
      </c>
      <c r="M199" s="22">
        <f t="shared" si="1"/>
        <v>-1.7380460835767941</v>
      </c>
      <c r="N199" s="22">
        <f t="shared" si="2"/>
        <v>45.369215273619986</v>
      </c>
    </row>
    <row r="200" spans="1:14" ht="16">
      <c r="A200" s="6" t="s">
        <v>50</v>
      </c>
      <c r="B200" s="6" t="s">
        <v>62</v>
      </c>
      <c r="C200" s="6">
        <v>55</v>
      </c>
      <c r="D200" s="6" t="s">
        <v>23</v>
      </c>
      <c r="E200" s="6">
        <v>61</v>
      </c>
      <c r="F200" s="6">
        <v>196</v>
      </c>
      <c r="G200" s="6">
        <v>91.280900000000003</v>
      </c>
      <c r="H200" s="6">
        <v>86</v>
      </c>
      <c r="I200" s="6">
        <v>22.8171</v>
      </c>
      <c r="J200" s="45">
        <v>53.4116</v>
      </c>
      <c r="K200" s="45">
        <v>153.291</v>
      </c>
      <c r="L200" s="22">
        <f t="shared" si="0"/>
        <v>0.50060372809608389</v>
      </c>
      <c r="M200" s="22">
        <f t="shared" si="1"/>
        <v>-1.7380460835767941</v>
      </c>
      <c r="N200" s="22">
        <f t="shared" si="2"/>
        <v>43.957512760389037</v>
      </c>
    </row>
    <row r="201" spans="1:14" ht="16">
      <c r="A201" s="6" t="s">
        <v>50</v>
      </c>
      <c r="B201" s="6" t="s">
        <v>62</v>
      </c>
      <c r="C201" s="6">
        <v>55</v>
      </c>
      <c r="D201" s="6" t="s">
        <v>24</v>
      </c>
      <c r="E201" s="6">
        <v>61</v>
      </c>
      <c r="F201" s="6">
        <v>182</v>
      </c>
      <c r="G201" s="6">
        <v>88.085300000000004</v>
      </c>
      <c r="H201" s="6">
        <v>82</v>
      </c>
      <c r="I201" s="6">
        <v>21.420400000000001</v>
      </c>
      <c r="J201" s="45">
        <v>53.4116</v>
      </c>
      <c r="K201" s="45">
        <v>153.291</v>
      </c>
      <c r="L201" s="22">
        <f t="shared" si="0"/>
        <v>0.50060372809608389</v>
      </c>
      <c r="M201" s="22">
        <f t="shared" si="1"/>
        <v>-1.7380460835767941</v>
      </c>
      <c r="N201" s="22">
        <f t="shared" si="2"/>
        <v>42.357783486885182</v>
      </c>
    </row>
    <row r="202" spans="1:14" ht="16">
      <c r="A202" s="6" t="s">
        <v>50</v>
      </c>
      <c r="B202" s="6" t="s">
        <v>62</v>
      </c>
      <c r="C202" s="6">
        <v>55</v>
      </c>
      <c r="D202" s="6" t="s">
        <v>25</v>
      </c>
      <c r="E202" s="6">
        <v>27</v>
      </c>
      <c r="F202" s="6">
        <v>172</v>
      </c>
      <c r="G202" s="6">
        <v>86.786699999999996</v>
      </c>
      <c r="H202" s="6">
        <v>82</v>
      </c>
      <c r="I202" s="6">
        <v>20.437000000000001</v>
      </c>
      <c r="J202" s="45">
        <v>53.4116</v>
      </c>
      <c r="K202" s="45">
        <v>153.291</v>
      </c>
      <c r="L202" s="22">
        <f t="shared" si="0"/>
        <v>0.50060372809608389</v>
      </c>
      <c r="M202" s="22">
        <f t="shared" si="1"/>
        <v>-1.7380460835767941</v>
      </c>
      <c r="N202" s="22">
        <f t="shared" si="2"/>
        <v>41.70769948557961</v>
      </c>
    </row>
    <row r="203" spans="1:14" ht="16">
      <c r="A203" s="13" t="s">
        <v>50</v>
      </c>
      <c r="B203" s="13" t="s">
        <v>62</v>
      </c>
      <c r="C203" s="13">
        <v>55</v>
      </c>
      <c r="D203" s="13" t="s">
        <v>52</v>
      </c>
      <c r="E203" s="13">
        <v>33</v>
      </c>
      <c r="F203" s="13">
        <v>131</v>
      </c>
      <c r="G203" s="13">
        <v>76.027000000000001</v>
      </c>
      <c r="H203" s="13">
        <v>72</v>
      </c>
      <c r="I203" s="13">
        <v>12.963900000000001</v>
      </c>
      <c r="J203" s="45">
        <v>53.4116</v>
      </c>
      <c r="K203" s="45">
        <v>153.291</v>
      </c>
      <c r="L203" s="22">
        <f t="shared" si="0"/>
        <v>0.50060372809608389</v>
      </c>
      <c r="M203" s="22">
        <f t="shared" si="1"/>
        <v>-1.7380460835767941</v>
      </c>
      <c r="N203" s="22">
        <f t="shared" si="2"/>
        <v>36.321353552384181</v>
      </c>
    </row>
    <row r="204" spans="1:14" ht="16">
      <c r="A204" s="13" t="s">
        <v>50</v>
      </c>
      <c r="B204" s="13" t="s">
        <v>62</v>
      </c>
      <c r="C204" s="13">
        <v>55</v>
      </c>
      <c r="D204" s="13" t="s">
        <v>27</v>
      </c>
      <c r="E204" s="13">
        <v>37</v>
      </c>
      <c r="F204" s="13">
        <v>127</v>
      </c>
      <c r="G204" s="13">
        <v>75.256</v>
      </c>
      <c r="H204" s="13">
        <v>71</v>
      </c>
      <c r="I204" s="13">
        <v>12.3538</v>
      </c>
      <c r="J204" s="45">
        <v>53.4116</v>
      </c>
      <c r="K204" s="45">
        <v>153.291</v>
      </c>
      <c r="L204" s="22">
        <f t="shared" si="0"/>
        <v>0.50060372809608389</v>
      </c>
      <c r="M204" s="22">
        <f t="shared" si="1"/>
        <v>-1.7380460835767941</v>
      </c>
      <c r="N204" s="22">
        <f t="shared" si="2"/>
        <v>35.9353880780221</v>
      </c>
    </row>
    <row r="205" spans="1:14" ht="16">
      <c r="A205" s="13" t="s">
        <v>50</v>
      </c>
      <c r="B205" s="13" t="s">
        <v>62</v>
      </c>
      <c r="C205" s="13">
        <v>55</v>
      </c>
      <c r="D205" s="13" t="s">
        <v>28</v>
      </c>
      <c r="E205" s="13">
        <v>36</v>
      </c>
      <c r="F205" s="13">
        <v>139</v>
      </c>
      <c r="G205" s="13">
        <v>75.398700000000005</v>
      </c>
      <c r="H205" s="13">
        <v>71</v>
      </c>
      <c r="I205" s="13">
        <v>12.8103</v>
      </c>
      <c r="J205" s="45">
        <v>53.4116</v>
      </c>
      <c r="K205" s="45">
        <v>153.291</v>
      </c>
      <c r="L205" s="22">
        <f t="shared" si="0"/>
        <v>0.50060372809608389</v>
      </c>
      <c r="M205" s="22">
        <f t="shared" si="1"/>
        <v>-1.7380460835767941</v>
      </c>
      <c r="N205" s="22">
        <f t="shared" si="2"/>
        <v>36.006824230021408</v>
      </c>
    </row>
    <row r="206" spans="1:14" ht="16">
      <c r="A206" s="13" t="s">
        <v>50</v>
      </c>
      <c r="B206" s="13" t="s">
        <v>62</v>
      </c>
      <c r="C206" s="13">
        <v>55</v>
      </c>
      <c r="D206" s="13" t="s">
        <v>29</v>
      </c>
      <c r="E206" s="13">
        <v>45</v>
      </c>
      <c r="F206" s="13">
        <v>144</v>
      </c>
      <c r="G206" s="13">
        <v>75.441999999999993</v>
      </c>
      <c r="H206" s="13">
        <v>72</v>
      </c>
      <c r="I206" s="13">
        <v>12.4092</v>
      </c>
      <c r="J206" s="45">
        <v>53.4116</v>
      </c>
      <c r="K206" s="45">
        <v>153.291</v>
      </c>
      <c r="L206" s="22">
        <f t="shared" si="0"/>
        <v>0.50060372809608389</v>
      </c>
      <c r="M206" s="22">
        <f t="shared" si="1"/>
        <v>-1.7380460835767941</v>
      </c>
      <c r="N206" s="22">
        <f t="shared" si="2"/>
        <v>36.028500371447961</v>
      </c>
    </row>
    <row r="207" spans="1:14" ht="16">
      <c r="A207" s="13" t="s">
        <v>50</v>
      </c>
      <c r="B207" s="13" t="s">
        <v>62</v>
      </c>
      <c r="C207" s="13">
        <v>55</v>
      </c>
      <c r="D207" s="13" t="s">
        <v>30</v>
      </c>
      <c r="E207" s="13">
        <v>37</v>
      </c>
      <c r="F207" s="13">
        <v>133</v>
      </c>
      <c r="G207" s="13">
        <v>75.040899999999993</v>
      </c>
      <c r="H207" s="13">
        <v>71</v>
      </c>
      <c r="I207" s="13">
        <v>12.350899999999999</v>
      </c>
      <c r="J207" s="45">
        <v>53.4116</v>
      </c>
      <c r="K207" s="45">
        <v>153.291</v>
      </c>
      <c r="L207" s="22">
        <f t="shared" si="0"/>
        <v>0.50060372809608389</v>
      </c>
      <c r="M207" s="22">
        <f t="shared" si="1"/>
        <v>-1.7380460835767941</v>
      </c>
      <c r="N207" s="22">
        <f t="shared" si="2"/>
        <v>35.827708216108618</v>
      </c>
    </row>
    <row r="208" spans="1:14" ht="16">
      <c r="A208" s="16" t="s">
        <v>50</v>
      </c>
      <c r="B208" s="16" t="s">
        <v>62</v>
      </c>
      <c r="C208" s="16">
        <v>55</v>
      </c>
      <c r="D208" s="16" t="s">
        <v>31</v>
      </c>
      <c r="E208" s="16">
        <v>61</v>
      </c>
      <c r="F208" s="16">
        <v>162</v>
      </c>
      <c r="G208" s="16">
        <v>84.611500000000007</v>
      </c>
      <c r="H208" s="16">
        <v>80</v>
      </c>
      <c r="I208" s="16">
        <v>17.6388</v>
      </c>
      <c r="J208" s="45">
        <v>53.4116</v>
      </c>
      <c r="K208" s="45">
        <v>153.291</v>
      </c>
      <c r="L208" s="22">
        <f t="shared" si="0"/>
        <v>0.50060372809608389</v>
      </c>
      <c r="M208" s="22">
        <f t="shared" si="1"/>
        <v>-1.7380460835767941</v>
      </c>
      <c r="N208" s="22">
        <f t="shared" si="2"/>
        <v>40.618786256225007</v>
      </c>
    </row>
    <row r="209" spans="1:14" ht="16">
      <c r="A209" s="16" t="s">
        <v>50</v>
      </c>
      <c r="B209" s="16" t="s">
        <v>62</v>
      </c>
      <c r="C209" s="16">
        <v>55</v>
      </c>
      <c r="D209" s="16" t="s">
        <v>32</v>
      </c>
      <c r="E209" s="16">
        <v>61</v>
      </c>
      <c r="F209" s="16">
        <v>161</v>
      </c>
      <c r="G209" s="16">
        <v>86.822000000000003</v>
      </c>
      <c r="H209" s="16">
        <v>83</v>
      </c>
      <c r="I209" s="16">
        <v>19.146999999999998</v>
      </c>
      <c r="J209" s="45">
        <v>53.4116</v>
      </c>
      <c r="K209" s="45">
        <v>153.291</v>
      </c>
      <c r="L209" s="22">
        <f t="shared" si="0"/>
        <v>0.50060372809608389</v>
      </c>
      <c r="M209" s="22">
        <f t="shared" si="1"/>
        <v>-1.7380460835767941</v>
      </c>
      <c r="N209" s="22">
        <f t="shared" si="2"/>
        <v>41.725370797181398</v>
      </c>
    </row>
    <row r="210" spans="1:14" ht="16">
      <c r="A210" s="16" t="s">
        <v>50</v>
      </c>
      <c r="B210" s="16" t="s">
        <v>62</v>
      </c>
      <c r="C210" s="16">
        <v>55</v>
      </c>
      <c r="D210" s="16" t="s">
        <v>33</v>
      </c>
      <c r="E210" s="16">
        <v>61</v>
      </c>
      <c r="F210" s="16">
        <v>158</v>
      </c>
      <c r="G210" s="16">
        <v>87.383799999999994</v>
      </c>
      <c r="H210" s="16">
        <v>83</v>
      </c>
      <c r="I210" s="16">
        <v>19.254000000000001</v>
      </c>
      <c r="J210" s="45">
        <v>53.4116</v>
      </c>
      <c r="K210" s="45">
        <v>153.291</v>
      </c>
      <c r="L210" s="22">
        <f t="shared" si="0"/>
        <v>0.50060372809608389</v>
      </c>
      <c r="M210" s="22">
        <f t="shared" si="1"/>
        <v>-1.7380460835767941</v>
      </c>
      <c r="N210" s="22">
        <f t="shared" si="2"/>
        <v>42.006609971625778</v>
      </c>
    </row>
    <row r="211" spans="1:14" ht="16">
      <c r="A211" s="16" t="s">
        <v>50</v>
      </c>
      <c r="B211" s="16" t="s">
        <v>62</v>
      </c>
      <c r="C211" s="16">
        <v>55</v>
      </c>
      <c r="D211" s="16" t="s">
        <v>34</v>
      </c>
      <c r="E211" s="16">
        <v>61</v>
      </c>
      <c r="F211" s="16">
        <v>160</v>
      </c>
      <c r="G211" s="16">
        <v>88.001199999999997</v>
      </c>
      <c r="H211" s="16">
        <v>84</v>
      </c>
      <c r="I211" s="16">
        <v>19.854800000000001</v>
      </c>
      <c r="J211" s="45">
        <v>53.4116</v>
      </c>
      <c r="K211" s="45">
        <v>153.291</v>
      </c>
      <c r="L211" s="22">
        <f t="shared" si="0"/>
        <v>0.50060372809608389</v>
      </c>
      <c r="M211" s="22">
        <f t="shared" si="1"/>
        <v>-1.7380460835767941</v>
      </c>
      <c r="N211" s="22">
        <f t="shared" si="2"/>
        <v>42.315682713352302</v>
      </c>
    </row>
    <row r="212" spans="1:14" ht="16">
      <c r="A212" s="16" t="s">
        <v>50</v>
      </c>
      <c r="B212" s="16" t="s">
        <v>62</v>
      </c>
      <c r="C212" s="16">
        <v>55</v>
      </c>
      <c r="D212" s="16" t="s">
        <v>35</v>
      </c>
      <c r="E212" s="16">
        <v>61</v>
      </c>
      <c r="F212" s="16">
        <v>157</v>
      </c>
      <c r="G212" s="16">
        <v>88.363600000000005</v>
      </c>
      <c r="H212" s="16">
        <v>85</v>
      </c>
      <c r="I212" s="16">
        <v>19.761600000000001</v>
      </c>
      <c r="J212" s="45">
        <v>53.4116</v>
      </c>
      <c r="K212" s="45">
        <v>153.291</v>
      </c>
      <c r="L212" s="22">
        <f t="shared" si="0"/>
        <v>0.50060372809608389</v>
      </c>
      <c r="M212" s="22">
        <f t="shared" si="1"/>
        <v>-1.7380460835767941</v>
      </c>
      <c r="N212" s="22">
        <f t="shared" si="2"/>
        <v>42.497101504414331</v>
      </c>
    </row>
    <row r="213" spans="1:14" ht="16">
      <c r="A213" s="6" t="s">
        <v>55</v>
      </c>
      <c r="B213" s="6" t="s">
        <v>56</v>
      </c>
      <c r="C213" s="6">
        <v>91</v>
      </c>
      <c r="D213" s="6" t="s">
        <v>21</v>
      </c>
      <c r="E213" s="6">
        <v>63</v>
      </c>
      <c r="F213" s="6">
        <v>243</v>
      </c>
      <c r="G213" s="6">
        <v>109.22</v>
      </c>
      <c r="H213" s="6">
        <v>103</v>
      </c>
      <c r="I213" s="6">
        <v>33.886200000000002</v>
      </c>
      <c r="J213" s="8">
        <v>56.976599999999998</v>
      </c>
      <c r="K213" s="8">
        <v>158.16200000000001</v>
      </c>
      <c r="L213" s="22">
        <f t="shared" si="0"/>
        <v>0.49414243556876775</v>
      </c>
      <c r="M213" s="22">
        <f t="shared" si="1"/>
        <v>-3.1545558944274497</v>
      </c>
      <c r="N213" s="22">
        <f t="shared" si="2"/>
        <v>50.815680918393369</v>
      </c>
    </row>
    <row r="214" spans="1:14" ht="16">
      <c r="A214" s="6" t="s">
        <v>55</v>
      </c>
      <c r="B214" s="6" t="s">
        <v>56</v>
      </c>
      <c r="C214" s="6">
        <v>91</v>
      </c>
      <c r="D214" s="6" t="s">
        <v>22</v>
      </c>
      <c r="E214" s="6">
        <v>63</v>
      </c>
      <c r="F214" s="6">
        <v>224</v>
      </c>
      <c r="G214" s="6">
        <v>107.459</v>
      </c>
      <c r="H214" s="6">
        <v>101</v>
      </c>
      <c r="I214" s="6">
        <v>33.168599999999998</v>
      </c>
      <c r="J214" s="8">
        <v>56.976599999999998</v>
      </c>
      <c r="K214" s="8">
        <v>158.16200000000001</v>
      </c>
      <c r="L214" s="22">
        <f t="shared" si="0"/>
        <v>0.49414243556876775</v>
      </c>
      <c r="M214" s="22">
        <f t="shared" si="1"/>
        <v>-3.1545558944274497</v>
      </c>
      <c r="N214" s="22">
        <f t="shared" si="2"/>
        <v>49.945496089356766</v>
      </c>
    </row>
    <row r="215" spans="1:14" ht="16">
      <c r="A215" s="6" t="s">
        <v>55</v>
      </c>
      <c r="B215" s="6" t="s">
        <v>56</v>
      </c>
      <c r="C215" s="6">
        <v>91</v>
      </c>
      <c r="D215" s="6" t="s">
        <v>23</v>
      </c>
      <c r="E215" s="6">
        <v>63</v>
      </c>
      <c r="F215" s="6">
        <v>205</v>
      </c>
      <c r="G215" s="6">
        <v>101.89</v>
      </c>
      <c r="H215" s="6">
        <v>96</v>
      </c>
      <c r="I215" s="6">
        <v>28.747900000000001</v>
      </c>
      <c r="J215" s="8">
        <v>56.976599999999998</v>
      </c>
      <c r="K215" s="8">
        <v>158.16200000000001</v>
      </c>
      <c r="L215" s="22">
        <f t="shared" si="0"/>
        <v>0.49414243556876775</v>
      </c>
      <c r="M215" s="22">
        <f t="shared" si="1"/>
        <v>-3.1545558944274497</v>
      </c>
      <c r="N215" s="22">
        <f t="shared" si="2"/>
        <v>47.193616865674301</v>
      </c>
    </row>
    <row r="216" spans="1:14" ht="16">
      <c r="A216" s="6" t="s">
        <v>55</v>
      </c>
      <c r="B216" s="6" t="s">
        <v>56</v>
      </c>
      <c r="C216" s="6">
        <v>91</v>
      </c>
      <c r="D216" s="6" t="s">
        <v>24</v>
      </c>
      <c r="E216" s="6">
        <v>63</v>
      </c>
      <c r="F216" s="6">
        <v>199</v>
      </c>
      <c r="G216" s="6">
        <v>98.393199999999993</v>
      </c>
      <c r="H216" s="6">
        <v>91</v>
      </c>
      <c r="I216" s="6">
        <v>27.241800000000001</v>
      </c>
      <c r="J216" s="8">
        <v>56.976599999999998</v>
      </c>
      <c r="K216" s="8">
        <v>158.16200000000001</v>
      </c>
      <c r="L216" s="22">
        <f t="shared" si="0"/>
        <v>0.49414243556876775</v>
      </c>
      <c r="M216" s="22">
        <f t="shared" si="1"/>
        <v>-3.1545558944274497</v>
      </c>
      <c r="N216" s="22">
        <f t="shared" si="2"/>
        <v>45.46569959697743</v>
      </c>
    </row>
    <row r="217" spans="1:14" ht="16">
      <c r="A217" s="6" t="s">
        <v>55</v>
      </c>
      <c r="B217" s="6" t="s">
        <v>56</v>
      </c>
      <c r="C217" s="6">
        <v>91</v>
      </c>
      <c r="D217" s="6" t="s">
        <v>25</v>
      </c>
      <c r="E217" s="6">
        <v>63</v>
      </c>
      <c r="F217" s="6">
        <v>204</v>
      </c>
      <c r="G217" s="6">
        <v>101.026</v>
      </c>
      <c r="H217" s="6">
        <v>95</v>
      </c>
      <c r="I217" s="6">
        <v>28.1313</v>
      </c>
      <c r="J217" s="8">
        <v>56.976599999999998</v>
      </c>
      <c r="K217" s="8">
        <v>158.16200000000001</v>
      </c>
      <c r="L217" s="22">
        <f t="shared" si="0"/>
        <v>0.49414243556876775</v>
      </c>
      <c r="M217" s="22">
        <f t="shared" si="1"/>
        <v>-3.1545558944274497</v>
      </c>
      <c r="N217" s="22">
        <f t="shared" si="2"/>
        <v>46.76667780134288</v>
      </c>
    </row>
    <row r="218" spans="1:14" ht="16">
      <c r="A218" s="13" t="s">
        <v>55</v>
      </c>
      <c r="B218" s="13" t="s">
        <v>56</v>
      </c>
      <c r="C218" s="13">
        <v>91</v>
      </c>
      <c r="D218" s="13" t="s">
        <v>52</v>
      </c>
      <c r="E218" s="46">
        <v>63</v>
      </c>
      <c r="F218" s="46">
        <v>243</v>
      </c>
      <c r="G218" s="46">
        <v>109.22</v>
      </c>
      <c r="H218" s="46">
        <v>103</v>
      </c>
      <c r="I218" s="46">
        <v>33.886200000000002</v>
      </c>
      <c r="J218" s="8">
        <v>56.976599999999998</v>
      </c>
      <c r="K218" s="8">
        <v>158.16200000000001</v>
      </c>
      <c r="L218" s="22">
        <f t="shared" si="0"/>
        <v>0.49414243556876775</v>
      </c>
      <c r="M218" s="22">
        <f t="shared" si="1"/>
        <v>-3.1545558944274497</v>
      </c>
      <c r="N218" s="22">
        <f t="shared" si="2"/>
        <v>50.815680918393369</v>
      </c>
    </row>
    <row r="219" spans="1:14" ht="16">
      <c r="A219" s="13" t="s">
        <v>55</v>
      </c>
      <c r="B219" s="13" t="s">
        <v>56</v>
      </c>
      <c r="C219" s="13">
        <v>91</v>
      </c>
      <c r="D219" s="13" t="s">
        <v>27</v>
      </c>
      <c r="E219" s="46">
        <v>63</v>
      </c>
      <c r="F219" s="46">
        <v>224</v>
      </c>
      <c r="G219" s="46">
        <v>107.459</v>
      </c>
      <c r="H219" s="46">
        <v>101</v>
      </c>
      <c r="I219" s="46">
        <v>33.168599999999998</v>
      </c>
      <c r="J219" s="8">
        <v>56.976599999999998</v>
      </c>
      <c r="K219" s="8">
        <v>158.16200000000001</v>
      </c>
      <c r="L219" s="22">
        <f t="shared" si="0"/>
        <v>0.49414243556876775</v>
      </c>
      <c r="M219" s="22">
        <f t="shared" si="1"/>
        <v>-3.1545558944274497</v>
      </c>
      <c r="N219" s="22">
        <f t="shared" si="2"/>
        <v>49.945496089356766</v>
      </c>
    </row>
    <row r="220" spans="1:14" ht="16">
      <c r="A220" s="13" t="s">
        <v>55</v>
      </c>
      <c r="B220" s="13" t="s">
        <v>56</v>
      </c>
      <c r="C220" s="13">
        <v>91</v>
      </c>
      <c r="D220" s="13" t="s">
        <v>28</v>
      </c>
      <c r="E220" s="46">
        <v>63</v>
      </c>
      <c r="F220" s="46">
        <v>205</v>
      </c>
      <c r="G220" s="46">
        <v>101.89</v>
      </c>
      <c r="H220" s="46">
        <v>96</v>
      </c>
      <c r="I220" s="46">
        <v>28.747900000000001</v>
      </c>
      <c r="J220" s="8">
        <v>56.976599999999998</v>
      </c>
      <c r="K220" s="8">
        <v>158.16200000000001</v>
      </c>
      <c r="L220" s="22">
        <f t="shared" si="0"/>
        <v>0.49414243556876775</v>
      </c>
      <c r="M220" s="22">
        <f t="shared" si="1"/>
        <v>-3.1545558944274497</v>
      </c>
      <c r="N220" s="22">
        <f t="shared" si="2"/>
        <v>47.193616865674301</v>
      </c>
    </row>
    <row r="221" spans="1:14" ht="16">
      <c r="A221" s="13" t="s">
        <v>55</v>
      </c>
      <c r="B221" s="13" t="s">
        <v>56</v>
      </c>
      <c r="C221" s="13">
        <v>91</v>
      </c>
      <c r="D221" s="13" t="s">
        <v>29</v>
      </c>
      <c r="E221" s="46">
        <v>63</v>
      </c>
      <c r="F221" s="46">
        <v>199</v>
      </c>
      <c r="G221" s="46">
        <v>98.393199999999993</v>
      </c>
      <c r="H221" s="46">
        <v>91</v>
      </c>
      <c r="I221" s="46">
        <v>27.241800000000001</v>
      </c>
      <c r="J221" s="8">
        <v>56.976599999999998</v>
      </c>
      <c r="K221" s="8">
        <v>158.16200000000001</v>
      </c>
      <c r="L221" s="22">
        <f t="shared" si="0"/>
        <v>0.49414243556876775</v>
      </c>
      <c r="M221" s="22">
        <f t="shared" si="1"/>
        <v>-3.1545558944274497</v>
      </c>
      <c r="N221" s="22">
        <f t="shared" si="2"/>
        <v>45.46569959697743</v>
      </c>
    </row>
    <row r="222" spans="1:14" ht="16">
      <c r="A222" s="13" t="s">
        <v>55</v>
      </c>
      <c r="B222" s="13" t="s">
        <v>56</v>
      </c>
      <c r="C222" s="13">
        <v>91</v>
      </c>
      <c r="D222" s="13" t="s">
        <v>30</v>
      </c>
      <c r="E222" s="46">
        <v>63</v>
      </c>
      <c r="F222" s="46">
        <v>204</v>
      </c>
      <c r="G222" s="46">
        <v>101.026</v>
      </c>
      <c r="H222" s="46">
        <v>95</v>
      </c>
      <c r="I222" s="46">
        <v>28.1313</v>
      </c>
      <c r="J222" s="8">
        <v>56.976599999999998</v>
      </c>
      <c r="K222" s="8">
        <v>158.16200000000001</v>
      </c>
      <c r="L222" s="22">
        <f t="shared" si="0"/>
        <v>0.49414243556876775</v>
      </c>
      <c r="M222" s="22">
        <f t="shared" si="1"/>
        <v>-3.1545558944274497</v>
      </c>
      <c r="N222" s="22">
        <f t="shared" si="2"/>
        <v>46.76667780134288</v>
      </c>
    </row>
    <row r="223" spans="1:14" ht="16">
      <c r="A223" s="16" t="s">
        <v>55</v>
      </c>
      <c r="B223" s="16" t="s">
        <v>56</v>
      </c>
      <c r="C223" s="16">
        <v>91</v>
      </c>
      <c r="D223" s="16" t="s">
        <v>53</v>
      </c>
      <c r="E223" s="16">
        <v>63</v>
      </c>
      <c r="F223" s="16">
        <v>213</v>
      </c>
      <c r="G223" s="16">
        <v>112.04900000000001</v>
      </c>
      <c r="H223" s="16">
        <v>108</v>
      </c>
      <c r="I223" s="16">
        <v>32.551699999999997</v>
      </c>
      <c r="J223" s="8">
        <v>56.976599999999998</v>
      </c>
      <c r="K223" s="8">
        <v>158.16200000000001</v>
      </c>
      <c r="L223" s="22">
        <f t="shared" si="0"/>
        <v>0.49414243556876775</v>
      </c>
      <c r="M223" s="22">
        <f t="shared" si="1"/>
        <v>-3.1545558944274497</v>
      </c>
      <c r="N223" s="22">
        <f t="shared" si="2"/>
        <v>52.213609868617411</v>
      </c>
    </row>
    <row r="224" spans="1:14" ht="16">
      <c r="A224" s="16" t="s">
        <v>55</v>
      </c>
      <c r="B224" s="16" t="s">
        <v>56</v>
      </c>
      <c r="C224" s="16">
        <v>91</v>
      </c>
      <c r="D224" s="16" t="s">
        <v>32</v>
      </c>
      <c r="E224" s="16">
        <v>63</v>
      </c>
      <c r="F224" s="16">
        <v>215</v>
      </c>
      <c r="G224" s="16">
        <v>122.895</v>
      </c>
      <c r="H224" s="16">
        <v>109</v>
      </c>
      <c r="I224" s="16">
        <v>33.451999999999998</v>
      </c>
      <c r="J224" s="8">
        <v>56.976599999999998</v>
      </c>
      <c r="K224" s="8">
        <v>158.16200000000001</v>
      </c>
      <c r="L224" s="22">
        <f t="shared" si="0"/>
        <v>0.49414243556876775</v>
      </c>
      <c r="M224" s="22">
        <f t="shared" si="1"/>
        <v>-3.1545558944274497</v>
      </c>
      <c r="N224" s="22">
        <f t="shared" si="2"/>
        <v>57.573078724796261</v>
      </c>
    </row>
    <row r="225" spans="1:14" ht="16">
      <c r="A225" s="16" t="s">
        <v>55</v>
      </c>
      <c r="B225" s="16" t="s">
        <v>56</v>
      </c>
      <c r="C225" s="16">
        <v>91</v>
      </c>
      <c r="D225" s="16" t="s">
        <v>33</v>
      </c>
      <c r="E225" s="16">
        <v>63</v>
      </c>
      <c r="F225" s="16">
        <v>218</v>
      </c>
      <c r="G225" s="16">
        <v>114.363</v>
      </c>
      <c r="H225" s="16">
        <v>110</v>
      </c>
      <c r="I225" s="16">
        <v>34.646799999999999</v>
      </c>
      <c r="J225" s="8">
        <v>56.976599999999998</v>
      </c>
      <c r="K225" s="8">
        <v>158.16200000000001</v>
      </c>
      <c r="L225" s="22">
        <f t="shared" si="0"/>
        <v>0.49414243556876775</v>
      </c>
      <c r="M225" s="22">
        <f t="shared" si="1"/>
        <v>-3.1545558944274497</v>
      </c>
      <c r="N225" s="22">
        <f t="shared" si="2"/>
        <v>53.35705546452354</v>
      </c>
    </row>
    <row r="226" spans="1:14" ht="16">
      <c r="A226" s="16" t="s">
        <v>55</v>
      </c>
      <c r="B226" s="16" t="s">
        <v>56</v>
      </c>
      <c r="C226" s="16">
        <v>91</v>
      </c>
      <c r="D226" s="16" t="s">
        <v>34</v>
      </c>
      <c r="E226" s="16">
        <v>63</v>
      </c>
      <c r="F226" s="16">
        <v>222</v>
      </c>
      <c r="G226" s="16">
        <v>114.295</v>
      </c>
      <c r="H226" s="16">
        <v>109</v>
      </c>
      <c r="I226" s="16">
        <v>35.101509999999998</v>
      </c>
      <c r="J226" s="8">
        <v>56.976599999999998</v>
      </c>
      <c r="K226" s="8">
        <v>158.16200000000001</v>
      </c>
      <c r="L226" s="22">
        <f t="shared" si="0"/>
        <v>0.49414243556876775</v>
      </c>
      <c r="M226" s="22">
        <f t="shared" si="1"/>
        <v>-3.1545558944274497</v>
      </c>
      <c r="N226" s="22">
        <f t="shared" si="2"/>
        <v>53.323453778904863</v>
      </c>
    </row>
    <row r="227" spans="1:14" ht="16">
      <c r="A227" s="16" t="s">
        <v>55</v>
      </c>
      <c r="B227" s="16" t="s">
        <v>56</v>
      </c>
      <c r="C227" s="16">
        <v>91</v>
      </c>
      <c r="D227" s="16" t="s">
        <v>35</v>
      </c>
      <c r="E227" s="16">
        <v>63</v>
      </c>
      <c r="F227" s="16">
        <v>222</v>
      </c>
      <c r="G227" s="16">
        <v>115.878</v>
      </c>
      <c r="H227" s="16">
        <v>112</v>
      </c>
      <c r="I227" s="16">
        <v>35.3185</v>
      </c>
      <c r="J227" s="8">
        <v>56.976599999999998</v>
      </c>
      <c r="K227" s="8">
        <v>158.16200000000001</v>
      </c>
      <c r="L227" s="22">
        <f t="shared" si="0"/>
        <v>0.49414243556876775</v>
      </c>
      <c r="M227" s="22">
        <f t="shared" si="1"/>
        <v>-3.1545558944274497</v>
      </c>
      <c r="N227" s="22">
        <f t="shared" si="2"/>
        <v>54.105681254410214</v>
      </c>
    </row>
    <row r="228" spans="1:14" ht="16">
      <c r="A228" s="6" t="s">
        <v>55</v>
      </c>
      <c r="B228" s="6" t="s">
        <v>57</v>
      </c>
      <c r="C228" s="6">
        <v>65.099999999999994</v>
      </c>
      <c r="D228" s="6" t="s">
        <v>21</v>
      </c>
      <c r="E228" s="6">
        <v>63</v>
      </c>
      <c r="F228" s="6">
        <v>243</v>
      </c>
      <c r="G228" s="6">
        <v>109.22</v>
      </c>
      <c r="H228" s="6">
        <v>103</v>
      </c>
      <c r="I228" s="6">
        <v>33.886200000000002</v>
      </c>
      <c r="J228" s="8">
        <v>56.976599999999998</v>
      </c>
      <c r="K228" s="8">
        <v>158.16200000000001</v>
      </c>
      <c r="L228" s="22">
        <f t="shared" si="0"/>
        <v>0.49414243556876775</v>
      </c>
      <c r="M228" s="22">
        <f t="shared" si="1"/>
        <v>-3.1545558944274497</v>
      </c>
      <c r="N228" s="22">
        <f t="shared" si="2"/>
        <v>50.815680918393369</v>
      </c>
    </row>
    <row r="229" spans="1:14" ht="16">
      <c r="A229" s="6" t="s">
        <v>55</v>
      </c>
      <c r="B229" s="6" t="s">
        <v>57</v>
      </c>
      <c r="C229" s="6">
        <v>65.099999999999994</v>
      </c>
      <c r="D229" s="6" t="s">
        <v>22</v>
      </c>
      <c r="E229" s="6">
        <v>63</v>
      </c>
      <c r="F229" s="6">
        <v>224</v>
      </c>
      <c r="G229" s="6">
        <v>107.459</v>
      </c>
      <c r="H229" s="6">
        <v>101</v>
      </c>
      <c r="I229" s="6">
        <v>33.168599999999998</v>
      </c>
      <c r="J229" s="8">
        <v>56.976599999999998</v>
      </c>
      <c r="K229" s="8">
        <v>158.16200000000001</v>
      </c>
      <c r="L229" s="22">
        <f t="shared" si="0"/>
        <v>0.49414243556876775</v>
      </c>
      <c r="M229" s="22">
        <f t="shared" si="1"/>
        <v>-3.1545558944274497</v>
      </c>
      <c r="N229" s="22">
        <f t="shared" si="2"/>
        <v>49.945496089356766</v>
      </c>
    </row>
    <row r="230" spans="1:14" ht="16">
      <c r="A230" s="6" t="s">
        <v>55</v>
      </c>
      <c r="B230" s="6" t="s">
        <v>57</v>
      </c>
      <c r="C230" s="6">
        <v>65.099999999999994</v>
      </c>
      <c r="D230" s="6" t="s">
        <v>23</v>
      </c>
      <c r="E230" s="6">
        <v>63</v>
      </c>
      <c r="F230" s="6">
        <v>205</v>
      </c>
      <c r="G230" s="6">
        <v>101.89</v>
      </c>
      <c r="H230" s="6">
        <v>96</v>
      </c>
      <c r="I230" s="6">
        <v>28.747900000000001</v>
      </c>
      <c r="J230" s="8">
        <v>56.976599999999998</v>
      </c>
      <c r="K230" s="8">
        <v>158.16200000000001</v>
      </c>
      <c r="L230" s="22">
        <f t="shared" si="0"/>
        <v>0.49414243556876775</v>
      </c>
      <c r="M230" s="22">
        <f t="shared" si="1"/>
        <v>-3.1545558944274497</v>
      </c>
      <c r="N230" s="22">
        <f t="shared" si="2"/>
        <v>47.193616865674301</v>
      </c>
    </row>
    <row r="231" spans="1:14" ht="16">
      <c r="A231" s="6" t="s">
        <v>55</v>
      </c>
      <c r="B231" s="6" t="s">
        <v>57</v>
      </c>
      <c r="C231" s="6">
        <v>65.099999999999994</v>
      </c>
      <c r="D231" s="6" t="s">
        <v>24</v>
      </c>
      <c r="E231" s="6">
        <v>63</v>
      </c>
      <c r="F231" s="6">
        <v>199</v>
      </c>
      <c r="G231" s="6">
        <v>98.393199999999993</v>
      </c>
      <c r="H231" s="6">
        <v>91</v>
      </c>
      <c r="I231" s="6">
        <v>27.241800000000001</v>
      </c>
      <c r="J231" s="8">
        <v>56.976599999999998</v>
      </c>
      <c r="K231" s="8">
        <v>158.16200000000001</v>
      </c>
      <c r="L231" s="22">
        <f t="shared" si="0"/>
        <v>0.49414243556876775</v>
      </c>
      <c r="M231" s="22">
        <f t="shared" si="1"/>
        <v>-3.1545558944274497</v>
      </c>
      <c r="N231" s="22">
        <f t="shared" si="2"/>
        <v>45.46569959697743</v>
      </c>
    </row>
    <row r="232" spans="1:14" ht="16">
      <c r="A232" s="6" t="s">
        <v>55</v>
      </c>
      <c r="B232" s="6" t="s">
        <v>57</v>
      </c>
      <c r="C232" s="6">
        <v>65.099999999999994</v>
      </c>
      <c r="D232" s="6" t="s">
        <v>25</v>
      </c>
      <c r="E232" s="6">
        <v>63</v>
      </c>
      <c r="F232" s="6">
        <v>204</v>
      </c>
      <c r="G232" s="6">
        <v>101.026</v>
      </c>
      <c r="H232" s="6">
        <v>95</v>
      </c>
      <c r="I232" s="6">
        <v>28.1313</v>
      </c>
      <c r="J232" s="8">
        <v>56.976599999999998</v>
      </c>
      <c r="K232" s="8">
        <v>158.16200000000001</v>
      </c>
      <c r="L232" s="22">
        <f t="shared" si="0"/>
        <v>0.49414243556876775</v>
      </c>
      <c r="M232" s="22">
        <f t="shared" si="1"/>
        <v>-3.1545558944274497</v>
      </c>
      <c r="N232" s="22">
        <f t="shared" si="2"/>
        <v>46.76667780134288</v>
      </c>
    </row>
    <row r="233" spans="1:14" ht="16">
      <c r="A233" s="13" t="s">
        <v>55</v>
      </c>
      <c r="B233" s="13" t="s">
        <v>57</v>
      </c>
      <c r="C233" s="13">
        <v>65.099999999999994</v>
      </c>
      <c r="D233" s="13" t="s">
        <v>52</v>
      </c>
      <c r="E233" s="46">
        <v>68</v>
      </c>
      <c r="F233" s="46">
        <v>195</v>
      </c>
      <c r="G233" s="46">
        <v>96.773799999999994</v>
      </c>
      <c r="H233" s="46">
        <v>91</v>
      </c>
      <c r="I233" s="46">
        <v>22.002199999999998</v>
      </c>
      <c r="J233" s="8">
        <v>56.976599999999998</v>
      </c>
      <c r="K233" s="8">
        <v>158.16200000000001</v>
      </c>
      <c r="L233" s="22">
        <f t="shared" si="0"/>
        <v>0.49414243556876775</v>
      </c>
      <c r="M233" s="22">
        <f t="shared" si="1"/>
        <v>-3.1545558944274497</v>
      </c>
      <c r="N233" s="22">
        <f t="shared" si="2"/>
        <v>44.665485336817369</v>
      </c>
    </row>
    <row r="234" spans="1:14" ht="16">
      <c r="A234" s="13" t="s">
        <v>55</v>
      </c>
      <c r="B234" s="13" t="s">
        <v>57</v>
      </c>
      <c r="C234" s="13">
        <v>65.099999999999994</v>
      </c>
      <c r="D234" s="13" t="s">
        <v>27</v>
      </c>
      <c r="E234" s="46">
        <v>68</v>
      </c>
      <c r="F234" s="46">
        <v>187</v>
      </c>
      <c r="G234" s="46">
        <v>95.641199999999998</v>
      </c>
      <c r="H234" s="46">
        <v>90</v>
      </c>
      <c r="I234" s="46">
        <v>21.500900000000001</v>
      </c>
      <c r="J234" s="8">
        <v>56.976599999999998</v>
      </c>
      <c r="K234" s="8">
        <v>158.16200000000001</v>
      </c>
      <c r="L234" s="22">
        <f t="shared" si="0"/>
        <v>0.49414243556876775</v>
      </c>
      <c r="M234" s="22">
        <f t="shared" si="1"/>
        <v>-3.1545558944274497</v>
      </c>
      <c r="N234" s="22">
        <f t="shared" si="2"/>
        <v>44.105819614292173</v>
      </c>
    </row>
    <row r="235" spans="1:14" ht="16">
      <c r="A235" s="13" t="s">
        <v>55</v>
      </c>
      <c r="B235" s="13" t="s">
        <v>57</v>
      </c>
      <c r="C235" s="13">
        <v>65.099999999999994</v>
      </c>
      <c r="D235" s="13" t="s">
        <v>28</v>
      </c>
      <c r="E235" s="46">
        <v>68</v>
      </c>
      <c r="F235" s="46">
        <v>195</v>
      </c>
      <c r="G235" s="46">
        <v>96.186999999999998</v>
      </c>
      <c r="H235" s="46">
        <v>91</v>
      </c>
      <c r="I235" s="46">
        <v>21.8645</v>
      </c>
      <c r="J235" s="8">
        <v>56.976599999999998</v>
      </c>
      <c r="K235" s="8">
        <v>158.16200000000001</v>
      </c>
      <c r="L235" s="22">
        <f t="shared" si="0"/>
        <v>0.49414243556876775</v>
      </c>
      <c r="M235" s="22">
        <f t="shared" si="1"/>
        <v>-3.1545558944274497</v>
      </c>
      <c r="N235" s="22">
        <f t="shared" si="2"/>
        <v>44.375522555625608</v>
      </c>
    </row>
    <row r="236" spans="1:14" ht="16">
      <c r="A236" s="13" t="s">
        <v>55</v>
      </c>
      <c r="B236" s="13" t="s">
        <v>57</v>
      </c>
      <c r="C236" s="13">
        <v>65.099999999999994</v>
      </c>
      <c r="D236" s="13" t="s">
        <v>29</v>
      </c>
      <c r="E236" s="46">
        <v>68</v>
      </c>
      <c r="F236" s="46">
        <v>216</v>
      </c>
      <c r="G236" s="46">
        <v>97.674800000000005</v>
      </c>
      <c r="H236" s="46">
        <v>91</v>
      </c>
      <c r="I236" s="46">
        <v>23.679600000000001</v>
      </c>
      <c r="J236" s="8">
        <v>56.976599999999998</v>
      </c>
      <c r="K236" s="8">
        <v>158.16200000000001</v>
      </c>
      <c r="L236" s="22">
        <f t="shared" si="0"/>
        <v>0.49414243556876775</v>
      </c>
      <c r="M236" s="22">
        <f t="shared" si="1"/>
        <v>-3.1545558944274497</v>
      </c>
      <c r="N236" s="22">
        <f t="shared" si="2"/>
        <v>45.110707671264834</v>
      </c>
    </row>
    <row r="237" spans="1:14" ht="16">
      <c r="A237" s="13" t="s">
        <v>55</v>
      </c>
      <c r="B237" s="13" t="s">
        <v>57</v>
      </c>
      <c r="C237" s="13">
        <v>65.099999999999994</v>
      </c>
      <c r="D237" s="13" t="s">
        <v>30</v>
      </c>
      <c r="E237" s="46">
        <v>68</v>
      </c>
      <c r="F237" s="46">
        <v>230</v>
      </c>
      <c r="G237" s="46">
        <v>100.61199999999999</v>
      </c>
      <c r="H237" s="46">
        <v>93</v>
      </c>
      <c r="I237" s="46">
        <v>26.3367</v>
      </c>
      <c r="J237" s="8">
        <v>56.976599999999998</v>
      </c>
      <c r="K237" s="8">
        <v>158.16200000000001</v>
      </c>
      <c r="L237" s="22">
        <f t="shared" si="0"/>
        <v>0.49414243556876775</v>
      </c>
      <c r="M237" s="22">
        <f t="shared" si="1"/>
        <v>-3.1545558944274497</v>
      </c>
      <c r="N237" s="22">
        <f t="shared" si="2"/>
        <v>46.562102833017406</v>
      </c>
    </row>
    <row r="238" spans="1:14" ht="16">
      <c r="A238" s="16" t="s">
        <v>55</v>
      </c>
      <c r="B238" s="16" t="s">
        <v>57</v>
      </c>
      <c r="C238" s="16">
        <v>65.099999999999994</v>
      </c>
      <c r="D238" s="16" t="s">
        <v>53</v>
      </c>
      <c r="E238" s="16">
        <v>68</v>
      </c>
      <c r="F238" s="16">
        <v>210</v>
      </c>
      <c r="G238" s="16">
        <v>107.154</v>
      </c>
      <c r="H238" s="16">
        <v>103</v>
      </c>
      <c r="I238" s="16">
        <v>26.347899999999999</v>
      </c>
      <c r="J238" s="8">
        <v>56.976599999999998</v>
      </c>
      <c r="K238" s="8">
        <v>158.16200000000001</v>
      </c>
      <c r="L238" s="22">
        <f t="shared" si="0"/>
        <v>0.49414243556876775</v>
      </c>
      <c r="M238" s="22">
        <f t="shared" si="1"/>
        <v>-3.1545558944274497</v>
      </c>
      <c r="N238" s="22">
        <f t="shared" si="2"/>
        <v>49.794782646508281</v>
      </c>
    </row>
    <row r="239" spans="1:14" ht="16">
      <c r="A239" s="16" t="s">
        <v>55</v>
      </c>
      <c r="B239" s="16" t="s">
        <v>57</v>
      </c>
      <c r="C239" s="16">
        <v>65.099999999999994</v>
      </c>
      <c r="D239" s="16" t="s">
        <v>32</v>
      </c>
      <c r="E239" s="16">
        <v>68</v>
      </c>
      <c r="F239" s="16">
        <v>195</v>
      </c>
      <c r="G239" s="16">
        <v>109.499</v>
      </c>
      <c r="H239" s="16">
        <v>106</v>
      </c>
      <c r="I239" s="16">
        <v>27.339099999999998</v>
      </c>
      <c r="J239" s="8">
        <v>56.976599999999998</v>
      </c>
      <c r="K239" s="8">
        <v>158.16200000000001</v>
      </c>
      <c r="L239" s="22">
        <f t="shared" si="0"/>
        <v>0.49414243556876775</v>
      </c>
      <c r="M239" s="22">
        <f t="shared" si="1"/>
        <v>-3.1545558944274497</v>
      </c>
      <c r="N239" s="22">
        <f t="shared" si="2"/>
        <v>50.953546657917045</v>
      </c>
    </row>
    <row r="240" spans="1:14" ht="16">
      <c r="A240" s="16" t="s">
        <v>55</v>
      </c>
      <c r="B240" s="16" t="s">
        <v>57</v>
      </c>
      <c r="C240" s="16">
        <v>65.099999999999994</v>
      </c>
      <c r="D240" s="16" t="s">
        <v>33</v>
      </c>
      <c r="E240" s="16">
        <v>68</v>
      </c>
      <c r="F240" s="16">
        <v>213</v>
      </c>
      <c r="G240" s="16">
        <v>111.649</v>
      </c>
      <c r="H240" s="16">
        <v>107</v>
      </c>
      <c r="I240" s="16">
        <v>29.678699999999999</v>
      </c>
      <c r="J240" s="8">
        <v>56.976599999999998</v>
      </c>
      <c r="K240" s="8">
        <v>158.16200000000001</v>
      </c>
      <c r="L240" s="22">
        <f t="shared" si="0"/>
        <v>0.49414243556876775</v>
      </c>
      <c r="M240" s="22">
        <f t="shared" si="1"/>
        <v>-3.1545558944274497</v>
      </c>
      <c r="N240" s="22">
        <f t="shared" si="2"/>
        <v>52.015952894389898</v>
      </c>
    </row>
    <row r="241" spans="1:14" ht="16">
      <c r="A241" s="16" t="s">
        <v>55</v>
      </c>
      <c r="B241" s="16" t="s">
        <v>57</v>
      </c>
      <c r="C241" s="16">
        <v>65.099999999999994</v>
      </c>
      <c r="D241" s="16" t="s">
        <v>34</v>
      </c>
      <c r="E241" s="16">
        <v>68</v>
      </c>
      <c r="F241" s="16">
        <v>228</v>
      </c>
      <c r="G241" s="16">
        <v>116.751</v>
      </c>
      <c r="H241" s="16">
        <v>112</v>
      </c>
      <c r="I241" s="16">
        <v>33.217799999999997</v>
      </c>
      <c r="J241" s="8">
        <v>56.976599999999998</v>
      </c>
      <c r="K241" s="8">
        <v>158.16200000000001</v>
      </c>
      <c r="L241" s="22">
        <f t="shared" si="0"/>
        <v>0.49414243556876775</v>
      </c>
      <c r="M241" s="22">
        <f t="shared" si="1"/>
        <v>-3.1545558944274497</v>
      </c>
      <c r="N241" s="22">
        <f t="shared" si="2"/>
        <v>54.537067600661757</v>
      </c>
    </row>
    <row r="242" spans="1:14" ht="16">
      <c r="A242" s="16" t="s">
        <v>55</v>
      </c>
      <c r="B242" s="16" t="s">
        <v>57</v>
      </c>
      <c r="C242" s="16">
        <v>65.099999999999994</v>
      </c>
      <c r="D242" s="16" t="s">
        <v>35</v>
      </c>
      <c r="E242" s="16">
        <v>68</v>
      </c>
      <c r="F242" s="16">
        <v>225</v>
      </c>
      <c r="G242" s="16">
        <v>116.49299999999999</v>
      </c>
      <c r="H242" s="16">
        <v>112</v>
      </c>
      <c r="I242" s="16">
        <v>32.841900000000003</v>
      </c>
      <c r="J242" s="8">
        <v>56.976599999999998</v>
      </c>
      <c r="K242" s="8">
        <v>158.16200000000001</v>
      </c>
      <c r="L242" s="22">
        <f t="shared" si="0"/>
        <v>0.49414243556876775</v>
      </c>
      <c r="M242" s="22">
        <f t="shared" si="1"/>
        <v>-3.1545558944274497</v>
      </c>
      <c r="N242" s="22">
        <f t="shared" si="2"/>
        <v>54.409578852285009</v>
      </c>
    </row>
    <row r="243" spans="1:14" ht="16">
      <c r="A243" s="6" t="s">
        <v>58</v>
      </c>
      <c r="B243" s="6" t="s">
        <v>56</v>
      </c>
      <c r="C243" s="6">
        <v>34</v>
      </c>
      <c r="D243" s="6" t="s">
        <v>21</v>
      </c>
      <c r="E243" s="6">
        <v>55</v>
      </c>
      <c r="F243" s="6">
        <v>176</v>
      </c>
      <c r="G243" s="6">
        <v>84.474400000000003</v>
      </c>
      <c r="H243" s="6">
        <v>79</v>
      </c>
      <c r="I243" s="6">
        <v>21.036100000000001</v>
      </c>
      <c r="J243" s="47">
        <v>86.249899999999997</v>
      </c>
      <c r="K243" s="8">
        <v>252.446</v>
      </c>
      <c r="L243" s="22">
        <f t="shared" si="0"/>
        <v>0.30084941824747991</v>
      </c>
      <c r="M243" s="22">
        <f t="shared" si="1"/>
        <v>-0.94823223890331576</v>
      </c>
      <c r="N243" s="22">
        <f t="shared" si="2"/>
        <v>24.465841857901601</v>
      </c>
    </row>
    <row r="244" spans="1:14" ht="16">
      <c r="A244" s="6" t="s">
        <v>58</v>
      </c>
      <c r="B244" s="6" t="s">
        <v>56</v>
      </c>
      <c r="C244" s="6">
        <v>34</v>
      </c>
      <c r="D244" s="6" t="s">
        <v>22</v>
      </c>
      <c r="E244" s="6">
        <v>51</v>
      </c>
      <c r="F244" s="6">
        <v>182</v>
      </c>
      <c r="G244" s="6">
        <v>81.149600000000007</v>
      </c>
      <c r="H244" s="6">
        <v>75</v>
      </c>
      <c r="I244" s="6">
        <v>20.892099999999999</v>
      </c>
      <c r="J244" s="47">
        <v>86.249899999999997</v>
      </c>
      <c r="K244" s="8">
        <v>252.446</v>
      </c>
      <c r="L244" s="22">
        <f t="shared" si="0"/>
        <v>0.30084941824747991</v>
      </c>
      <c r="M244" s="22">
        <f t="shared" si="1"/>
        <v>-0.94823223890331576</v>
      </c>
      <c r="N244" s="22">
        <f t="shared" si="2"/>
        <v>23.465577712112381</v>
      </c>
    </row>
    <row r="245" spans="1:14" ht="16">
      <c r="A245" s="6" t="s">
        <v>58</v>
      </c>
      <c r="B245" s="6" t="s">
        <v>56</v>
      </c>
      <c r="C245" s="6">
        <v>34</v>
      </c>
      <c r="D245" s="6" t="s">
        <v>23</v>
      </c>
      <c r="E245" s="6">
        <v>51</v>
      </c>
      <c r="F245" s="6">
        <v>162</v>
      </c>
      <c r="G245" s="6">
        <v>79.615399999999994</v>
      </c>
      <c r="H245" s="6">
        <v>74</v>
      </c>
      <c r="I245" s="6">
        <v>19.470199999999998</v>
      </c>
      <c r="J245" s="47">
        <v>86.249899999999997</v>
      </c>
      <c r="K245" s="8">
        <v>252.446</v>
      </c>
      <c r="L245" s="22">
        <f t="shared" si="0"/>
        <v>0.30084941824747991</v>
      </c>
      <c r="M245" s="22">
        <f t="shared" si="1"/>
        <v>-0.94823223890331576</v>
      </c>
      <c r="N245" s="22">
        <f t="shared" si="2"/>
        <v>23.004014534637093</v>
      </c>
    </row>
    <row r="246" spans="1:14" ht="16">
      <c r="A246" s="6" t="s">
        <v>58</v>
      </c>
      <c r="B246" s="6" t="s">
        <v>56</v>
      </c>
      <c r="C246" s="6">
        <v>34</v>
      </c>
      <c r="D246" s="6" t="s">
        <v>24</v>
      </c>
      <c r="E246" s="6">
        <v>51</v>
      </c>
      <c r="F246" s="6">
        <v>162</v>
      </c>
      <c r="G246" s="6">
        <v>78.399699999999996</v>
      </c>
      <c r="H246" s="6">
        <v>74</v>
      </c>
      <c r="I246" s="6">
        <v>17.8125</v>
      </c>
      <c r="J246" s="47">
        <v>86.249899999999997</v>
      </c>
      <c r="K246" s="8">
        <v>252.446</v>
      </c>
      <c r="L246" s="22">
        <f t="shared" si="0"/>
        <v>0.30084941824747991</v>
      </c>
      <c r="M246" s="22">
        <f t="shared" si="1"/>
        <v>-0.94823223890331576</v>
      </c>
      <c r="N246" s="22">
        <f t="shared" si="2"/>
        <v>22.638271896873633</v>
      </c>
    </row>
    <row r="247" spans="1:14" ht="16">
      <c r="A247" s="6" t="s">
        <v>58</v>
      </c>
      <c r="B247" s="6" t="s">
        <v>56</v>
      </c>
      <c r="C247" s="6">
        <v>34</v>
      </c>
      <c r="D247" s="6" t="s">
        <v>25</v>
      </c>
      <c r="E247" s="6">
        <v>51</v>
      </c>
      <c r="F247" s="6">
        <v>154</v>
      </c>
      <c r="G247" s="6">
        <v>78.965299999999999</v>
      </c>
      <c r="H247" s="6">
        <v>75</v>
      </c>
      <c r="I247" s="6">
        <v>17.172000000000001</v>
      </c>
      <c r="J247" s="47">
        <v>86.249899999999997</v>
      </c>
      <c r="K247" s="8">
        <v>252.446</v>
      </c>
      <c r="L247" s="22">
        <f t="shared" si="0"/>
        <v>0.30084941824747991</v>
      </c>
      <c r="M247" s="22">
        <f t="shared" si="1"/>
        <v>-0.94823223890331576</v>
      </c>
      <c r="N247" s="22">
        <f t="shared" si="2"/>
        <v>22.80843232783441</v>
      </c>
    </row>
    <row r="248" spans="1:14" ht="16">
      <c r="A248" s="13" t="s">
        <v>58</v>
      </c>
      <c r="B248" s="13" t="s">
        <v>56</v>
      </c>
      <c r="C248" s="13">
        <v>34</v>
      </c>
      <c r="D248" s="13" t="s">
        <v>52</v>
      </c>
      <c r="E248" s="46">
        <v>53</v>
      </c>
      <c r="F248" s="46">
        <v>143</v>
      </c>
      <c r="G248" s="46">
        <v>76.291899999999998</v>
      </c>
      <c r="H248" s="46">
        <v>74</v>
      </c>
      <c r="I248" s="46">
        <v>12.0753</v>
      </c>
      <c r="J248" s="47">
        <v>86.249899999999997</v>
      </c>
      <c r="K248" s="8">
        <v>252.446</v>
      </c>
      <c r="L248" s="22">
        <f t="shared" si="0"/>
        <v>0.30084941824747991</v>
      </c>
      <c r="M248" s="22">
        <f t="shared" si="1"/>
        <v>-0.94823223890331576</v>
      </c>
      <c r="N248" s="22">
        <f t="shared" si="2"/>
        <v>22.004141493091595</v>
      </c>
    </row>
    <row r="249" spans="1:14" ht="16">
      <c r="A249" s="13" t="s">
        <v>58</v>
      </c>
      <c r="B249" s="13" t="s">
        <v>56</v>
      </c>
      <c r="C249" s="13">
        <v>34</v>
      </c>
      <c r="D249" s="13" t="s">
        <v>27</v>
      </c>
      <c r="E249" s="46">
        <v>53</v>
      </c>
      <c r="F249" s="46">
        <v>163</v>
      </c>
      <c r="G249" s="46">
        <v>77.754499999999993</v>
      </c>
      <c r="H249" s="46">
        <v>75</v>
      </c>
      <c r="I249" s="46">
        <v>13.8139</v>
      </c>
      <c r="J249" s="47">
        <v>86.249899999999997</v>
      </c>
      <c r="K249" s="8">
        <v>252.446</v>
      </c>
      <c r="L249" s="22">
        <f t="shared" si="0"/>
        <v>0.30084941824747991</v>
      </c>
      <c r="M249" s="22">
        <f t="shared" si="1"/>
        <v>-0.94823223890331576</v>
      </c>
      <c r="N249" s="22">
        <f t="shared" si="2"/>
        <v>22.44416385222036</v>
      </c>
    </row>
    <row r="250" spans="1:14" ht="16">
      <c r="A250" s="13" t="s">
        <v>58</v>
      </c>
      <c r="B250" s="13" t="s">
        <v>56</v>
      </c>
      <c r="C250" s="13">
        <v>34</v>
      </c>
      <c r="D250" s="13" t="s">
        <v>28</v>
      </c>
      <c r="E250" s="46">
        <v>53</v>
      </c>
      <c r="F250" s="46">
        <v>187</v>
      </c>
      <c r="G250" s="46">
        <v>80.105199999999996</v>
      </c>
      <c r="H250" s="46">
        <v>76</v>
      </c>
      <c r="I250" s="46">
        <v>15.192</v>
      </c>
      <c r="J250" s="47">
        <v>86.249899999999997</v>
      </c>
      <c r="K250" s="8">
        <v>252.446</v>
      </c>
      <c r="L250" s="22">
        <f t="shared" si="0"/>
        <v>0.30084941824747991</v>
      </c>
      <c r="M250" s="22">
        <f t="shared" si="1"/>
        <v>-0.94823223890331576</v>
      </c>
      <c r="N250" s="22">
        <f t="shared" si="2"/>
        <v>23.15137057969471</v>
      </c>
    </row>
    <row r="251" spans="1:14" ht="16">
      <c r="A251" s="13" t="s">
        <v>58</v>
      </c>
      <c r="B251" s="13" t="s">
        <v>56</v>
      </c>
      <c r="C251" s="13">
        <v>34</v>
      </c>
      <c r="D251" s="13" t="s">
        <v>29</v>
      </c>
      <c r="E251" s="46">
        <v>53</v>
      </c>
      <c r="F251" s="46">
        <v>200</v>
      </c>
      <c r="G251" s="46">
        <v>81.033600000000007</v>
      </c>
      <c r="H251" s="46">
        <v>77</v>
      </c>
      <c r="I251" s="46">
        <v>16.053100000000001</v>
      </c>
      <c r="J251" s="47">
        <v>86.249899999999997</v>
      </c>
      <c r="K251" s="8">
        <v>252.446</v>
      </c>
      <c r="L251" s="22">
        <f t="shared" si="0"/>
        <v>0.30084941824747991</v>
      </c>
      <c r="M251" s="22">
        <f t="shared" si="1"/>
        <v>-0.94823223890331576</v>
      </c>
      <c r="N251" s="22">
        <f t="shared" si="2"/>
        <v>23.430679179595675</v>
      </c>
    </row>
    <row r="252" spans="1:14" ht="16">
      <c r="A252" s="13" t="s">
        <v>58</v>
      </c>
      <c r="B252" s="13" t="s">
        <v>56</v>
      </c>
      <c r="C252" s="13">
        <v>34</v>
      </c>
      <c r="D252" s="13" t="s">
        <v>30</v>
      </c>
      <c r="E252" s="46">
        <v>55</v>
      </c>
      <c r="F252" s="46">
        <v>193</v>
      </c>
      <c r="G252" s="46">
        <v>82.780100000000004</v>
      </c>
      <c r="H252" s="46">
        <v>78</v>
      </c>
      <c r="I252" s="46">
        <v>17.079799999999999</v>
      </c>
      <c r="J252" s="47">
        <v>86.249899999999997</v>
      </c>
      <c r="K252" s="8">
        <v>252.446</v>
      </c>
      <c r="L252" s="22">
        <f t="shared" si="0"/>
        <v>0.30084941824747991</v>
      </c>
      <c r="M252" s="22">
        <f t="shared" si="1"/>
        <v>-0.94823223890331576</v>
      </c>
      <c r="N252" s="22">
        <f t="shared" si="2"/>
        <v>23.956112688564897</v>
      </c>
    </row>
    <row r="253" spans="1:14" ht="16">
      <c r="A253" s="16" t="s">
        <v>58</v>
      </c>
      <c r="B253" s="16" t="s">
        <v>56</v>
      </c>
      <c r="C253" s="16">
        <v>34</v>
      </c>
      <c r="D253" s="16" t="s">
        <v>53</v>
      </c>
      <c r="E253" s="16">
        <v>63</v>
      </c>
      <c r="F253" s="16">
        <v>199</v>
      </c>
      <c r="G253" s="16">
        <v>88.990200000000002</v>
      </c>
      <c r="H253" s="16">
        <v>84</v>
      </c>
      <c r="I253" s="16">
        <v>21.403600000000001</v>
      </c>
      <c r="J253" s="47">
        <v>86.249899999999997</v>
      </c>
      <c r="K253" s="8">
        <v>252.446</v>
      </c>
      <c r="L253" s="22">
        <f t="shared" si="0"/>
        <v>0.30084941824747991</v>
      </c>
      <c r="M253" s="22">
        <f t="shared" si="1"/>
        <v>-0.94823223890331576</v>
      </c>
      <c r="N253" s="22">
        <f t="shared" si="2"/>
        <v>25.82441766082357</v>
      </c>
    </row>
    <row r="254" spans="1:14" ht="16">
      <c r="A254" s="16" t="s">
        <v>58</v>
      </c>
      <c r="B254" s="16" t="s">
        <v>56</v>
      </c>
      <c r="C254" s="16">
        <v>34</v>
      </c>
      <c r="D254" s="16" t="s">
        <v>32</v>
      </c>
      <c r="E254" s="16">
        <v>63</v>
      </c>
      <c r="F254" s="16">
        <v>214</v>
      </c>
      <c r="G254" s="16">
        <v>90.183999999999997</v>
      </c>
      <c r="H254" s="16">
        <v>84</v>
      </c>
      <c r="I254" s="16">
        <v>23.089600000000001</v>
      </c>
      <c r="J254" s="47">
        <v>86.249899999999997</v>
      </c>
      <c r="K254" s="8">
        <v>252.446</v>
      </c>
      <c r="L254" s="22">
        <f t="shared" si="0"/>
        <v>0.30084941824747991</v>
      </c>
      <c r="M254" s="22">
        <f t="shared" si="1"/>
        <v>-0.94823223890331576</v>
      </c>
      <c r="N254" s="22">
        <f t="shared" si="2"/>
        <v>26.183571696327412</v>
      </c>
    </row>
    <row r="255" spans="1:14" ht="16">
      <c r="A255" s="16" t="s">
        <v>58</v>
      </c>
      <c r="B255" s="16" t="s">
        <v>56</v>
      </c>
      <c r="C255" s="16">
        <v>34</v>
      </c>
      <c r="D255" s="16" t="s">
        <v>33</v>
      </c>
      <c r="E255" s="16">
        <v>63</v>
      </c>
      <c r="F255" s="16">
        <v>234</v>
      </c>
      <c r="G255" s="16">
        <v>91.289199999999994</v>
      </c>
      <c r="H255" s="16">
        <v>84</v>
      </c>
      <c r="I255" s="16">
        <v>24.596699999999998</v>
      </c>
      <c r="J255" s="47">
        <v>86.249899999999997</v>
      </c>
      <c r="K255" s="8">
        <v>252.446</v>
      </c>
      <c r="L255" s="22">
        <f t="shared" si="0"/>
        <v>0.30084941824747991</v>
      </c>
      <c r="M255" s="22">
        <f t="shared" si="1"/>
        <v>-0.94823223890331576</v>
      </c>
      <c r="N255" s="22">
        <f t="shared" si="2"/>
        <v>26.516070473374526</v>
      </c>
    </row>
    <row r="256" spans="1:14" ht="16">
      <c r="A256" s="16" t="s">
        <v>58</v>
      </c>
      <c r="B256" s="16" t="s">
        <v>56</v>
      </c>
      <c r="C256" s="16">
        <v>34</v>
      </c>
      <c r="D256" s="16" t="s">
        <v>34</v>
      </c>
      <c r="E256" s="16">
        <v>63</v>
      </c>
      <c r="F256" s="16">
        <v>230</v>
      </c>
      <c r="G256" s="16">
        <v>91.379599999999996</v>
      </c>
      <c r="H256" s="16">
        <v>84</v>
      </c>
      <c r="I256" s="16">
        <v>24.815200000000001</v>
      </c>
      <c r="J256" s="47">
        <v>86.249899999999997</v>
      </c>
      <c r="K256" s="8">
        <v>252.446</v>
      </c>
      <c r="L256" s="22">
        <f t="shared" si="0"/>
        <v>0.30084941824747991</v>
      </c>
      <c r="M256" s="22">
        <f t="shared" si="1"/>
        <v>-0.94823223890331576</v>
      </c>
      <c r="N256" s="22">
        <f t="shared" si="2"/>
        <v>26.543267260784098</v>
      </c>
    </row>
    <row r="257" spans="1:14" ht="16">
      <c r="A257" s="16" t="s">
        <v>58</v>
      </c>
      <c r="B257" s="16" t="s">
        <v>56</v>
      </c>
      <c r="C257" s="16">
        <v>34</v>
      </c>
      <c r="D257" s="16" t="s">
        <v>35</v>
      </c>
      <c r="E257" s="16">
        <v>63</v>
      </c>
      <c r="F257" s="16">
        <v>226</v>
      </c>
      <c r="G257" s="16">
        <v>92.625100000000003</v>
      </c>
      <c r="H257" s="16">
        <v>84</v>
      </c>
      <c r="I257" s="16">
        <v>26.377099999999999</v>
      </c>
      <c r="J257" s="47">
        <v>86.249899999999997</v>
      </c>
      <c r="K257" s="8">
        <v>252.446</v>
      </c>
      <c r="L257" s="22">
        <f t="shared" si="0"/>
        <v>0.30084941824747991</v>
      </c>
      <c r="M257" s="22">
        <f t="shared" si="1"/>
        <v>-0.94823223890331576</v>
      </c>
      <c r="N257" s="22">
        <f t="shared" si="2"/>
        <v>26.917975211211335</v>
      </c>
    </row>
    <row r="258" spans="1:14" ht="16">
      <c r="A258" s="6" t="s">
        <v>58</v>
      </c>
      <c r="B258" s="6" t="s">
        <v>57</v>
      </c>
      <c r="C258" s="6">
        <v>40</v>
      </c>
      <c r="D258" s="6" t="s">
        <v>21</v>
      </c>
      <c r="E258" s="6">
        <v>77</v>
      </c>
      <c r="F258" s="6">
        <v>254</v>
      </c>
      <c r="G258" s="6">
        <v>121.133</v>
      </c>
      <c r="H258" s="6">
        <v>113</v>
      </c>
      <c r="I258" s="6">
        <v>35.583199999999998</v>
      </c>
      <c r="J258" s="47">
        <v>86.249899999999997</v>
      </c>
      <c r="K258" s="8">
        <v>252.446</v>
      </c>
      <c r="L258" s="22">
        <f t="shared" ref="L258:L332" si="3">(75-25)/(K258-J258)</f>
        <v>0.30084941824747991</v>
      </c>
      <c r="M258" s="22">
        <f t="shared" ref="M258:M332" si="4">25-J258*L258</f>
        <v>-0.94823223890331576</v>
      </c>
      <c r="N258" s="22">
        <f t="shared" ref="N258:N332" si="5">L258*G258+M258</f>
        <v>35.494560341668667</v>
      </c>
    </row>
    <row r="259" spans="1:14" ht="16">
      <c r="A259" s="6" t="s">
        <v>58</v>
      </c>
      <c r="B259" s="6" t="s">
        <v>57</v>
      </c>
      <c r="C259" s="6">
        <v>40</v>
      </c>
      <c r="D259" s="6" t="s">
        <v>22</v>
      </c>
      <c r="E259" s="6">
        <v>77</v>
      </c>
      <c r="F259" s="6">
        <v>254</v>
      </c>
      <c r="G259" s="6">
        <v>118.711</v>
      </c>
      <c r="H259" s="6">
        <v>111</v>
      </c>
      <c r="I259" s="6">
        <v>33.043100000000003</v>
      </c>
      <c r="J259" s="47">
        <v>86.249899999999997</v>
      </c>
      <c r="K259" s="8">
        <v>252.446</v>
      </c>
      <c r="L259" s="22">
        <f t="shared" si="3"/>
        <v>0.30084941824747991</v>
      </c>
      <c r="M259" s="22">
        <f t="shared" si="4"/>
        <v>-0.94823223890331576</v>
      </c>
      <c r="N259" s="22">
        <f t="shared" si="5"/>
        <v>34.765903050673273</v>
      </c>
    </row>
    <row r="260" spans="1:14" ht="16">
      <c r="A260" s="6" t="s">
        <v>58</v>
      </c>
      <c r="B260" s="6" t="s">
        <v>57</v>
      </c>
      <c r="C260" s="6">
        <v>40</v>
      </c>
      <c r="D260" s="6" t="s">
        <v>23</v>
      </c>
      <c r="E260" s="6">
        <v>77</v>
      </c>
      <c r="F260" s="6">
        <v>244</v>
      </c>
      <c r="G260" s="6">
        <v>115.53100000000001</v>
      </c>
      <c r="H260" s="6">
        <v>109</v>
      </c>
      <c r="I260" s="6">
        <v>29.8232</v>
      </c>
      <c r="J260" s="47">
        <v>86.249899999999997</v>
      </c>
      <c r="K260" s="8">
        <v>252.446</v>
      </c>
      <c r="L260" s="22">
        <f t="shared" si="3"/>
        <v>0.30084941824747991</v>
      </c>
      <c r="M260" s="22">
        <f t="shared" si="4"/>
        <v>-0.94823223890331576</v>
      </c>
      <c r="N260" s="22">
        <f t="shared" si="5"/>
        <v>33.809201900646286</v>
      </c>
    </row>
    <row r="261" spans="1:14" ht="16">
      <c r="A261" s="6" t="s">
        <v>58</v>
      </c>
      <c r="B261" s="6" t="s">
        <v>57</v>
      </c>
      <c r="C261" s="6">
        <v>40</v>
      </c>
      <c r="D261" s="6" t="s">
        <v>24</v>
      </c>
      <c r="E261" s="6">
        <v>77</v>
      </c>
      <c r="F261" s="6">
        <v>249</v>
      </c>
      <c r="G261" s="6">
        <v>112.575</v>
      </c>
      <c r="H261" s="6">
        <v>107</v>
      </c>
      <c r="I261" s="6">
        <v>27.352799999999998</v>
      </c>
      <c r="J261" s="47">
        <v>86.249899999999997</v>
      </c>
      <c r="K261" s="8">
        <v>252.446</v>
      </c>
      <c r="L261" s="22">
        <f t="shared" si="3"/>
        <v>0.30084941824747991</v>
      </c>
      <c r="M261" s="22">
        <f t="shared" si="4"/>
        <v>-0.94823223890331576</v>
      </c>
      <c r="N261" s="22">
        <f t="shared" si="5"/>
        <v>32.919891020306736</v>
      </c>
    </row>
    <row r="262" spans="1:14" ht="16">
      <c r="A262" s="6" t="s">
        <v>58</v>
      </c>
      <c r="B262" s="6" t="s">
        <v>57</v>
      </c>
      <c r="C262" s="6">
        <v>40</v>
      </c>
      <c r="D262" s="6" t="s">
        <v>25</v>
      </c>
      <c r="E262" s="6">
        <v>77</v>
      </c>
      <c r="F262" s="6">
        <v>240</v>
      </c>
      <c r="G262" s="6">
        <v>110.352</v>
      </c>
      <c r="H262" s="6">
        <v>105</v>
      </c>
      <c r="I262" s="6">
        <v>24.9391</v>
      </c>
      <c r="J262" s="47">
        <v>86.249899999999997</v>
      </c>
      <c r="K262" s="8">
        <v>252.446</v>
      </c>
      <c r="L262" s="22">
        <f t="shared" si="3"/>
        <v>0.30084941824747991</v>
      </c>
      <c r="M262" s="22">
        <f t="shared" si="4"/>
        <v>-0.94823223890331576</v>
      </c>
      <c r="N262" s="22">
        <f t="shared" si="5"/>
        <v>32.25110276354259</v>
      </c>
    </row>
    <row r="263" spans="1:14" ht="16">
      <c r="A263" s="13" t="s">
        <v>58</v>
      </c>
      <c r="B263" s="13" t="s">
        <v>57</v>
      </c>
      <c r="C263" s="13">
        <v>40</v>
      </c>
      <c r="D263" s="13" t="s">
        <v>52</v>
      </c>
      <c r="E263" s="46">
        <v>71</v>
      </c>
      <c r="F263" s="46">
        <v>254</v>
      </c>
      <c r="G263" s="46">
        <v>100.836</v>
      </c>
      <c r="H263" s="46">
        <v>97</v>
      </c>
      <c r="I263" s="46">
        <v>22.9282</v>
      </c>
      <c r="J263" s="47">
        <v>86.249899999999997</v>
      </c>
      <c r="K263" s="8">
        <v>252.446</v>
      </c>
      <c r="L263" s="22">
        <f t="shared" si="3"/>
        <v>0.30084941824747991</v>
      </c>
      <c r="M263" s="22">
        <f t="shared" si="4"/>
        <v>-0.94823223890331576</v>
      </c>
      <c r="N263" s="22">
        <f t="shared" si="5"/>
        <v>29.388219699499569</v>
      </c>
    </row>
    <row r="264" spans="1:14" ht="16">
      <c r="A264" s="13" t="s">
        <v>58</v>
      </c>
      <c r="B264" s="13" t="s">
        <v>57</v>
      </c>
      <c r="C264" s="13">
        <v>40</v>
      </c>
      <c r="D264" s="13" t="s">
        <v>27</v>
      </c>
      <c r="E264" s="46">
        <v>71</v>
      </c>
      <c r="F264" s="46">
        <v>254</v>
      </c>
      <c r="G264" s="46">
        <v>102.206</v>
      </c>
      <c r="H264" s="46">
        <v>99</v>
      </c>
      <c r="I264" s="46">
        <v>23.450099999999999</v>
      </c>
      <c r="J264" s="47">
        <v>86.249899999999997</v>
      </c>
      <c r="K264" s="8">
        <v>252.446</v>
      </c>
      <c r="L264" s="22">
        <f t="shared" si="3"/>
        <v>0.30084941824747991</v>
      </c>
      <c r="M264" s="22">
        <f t="shared" si="4"/>
        <v>-0.94823223890331576</v>
      </c>
      <c r="N264" s="22">
        <f t="shared" si="5"/>
        <v>29.800383402498618</v>
      </c>
    </row>
    <row r="265" spans="1:14" ht="16">
      <c r="A265" s="13" t="s">
        <v>58</v>
      </c>
      <c r="B265" s="13" t="s">
        <v>57</v>
      </c>
      <c r="C265" s="13">
        <v>40</v>
      </c>
      <c r="D265" s="13" t="s">
        <v>28</v>
      </c>
      <c r="E265" s="46">
        <v>71</v>
      </c>
      <c r="F265" s="46">
        <v>254</v>
      </c>
      <c r="G265" s="46">
        <v>101.73399999999999</v>
      </c>
      <c r="H265" s="46">
        <v>98</v>
      </c>
      <c r="I265" s="46">
        <v>23.401199999999999</v>
      </c>
      <c r="J265" s="47">
        <v>86.249899999999997</v>
      </c>
      <c r="K265" s="8">
        <v>252.446</v>
      </c>
      <c r="L265" s="22">
        <f t="shared" si="3"/>
        <v>0.30084941824747991</v>
      </c>
      <c r="M265" s="22">
        <f t="shared" si="4"/>
        <v>-0.94823223890331576</v>
      </c>
      <c r="N265" s="22">
        <f t="shared" si="5"/>
        <v>29.658382477085802</v>
      </c>
    </row>
    <row r="266" spans="1:14" ht="16">
      <c r="A266" s="13" t="s">
        <v>58</v>
      </c>
      <c r="B266" s="13" t="s">
        <v>57</v>
      </c>
      <c r="C266" s="13">
        <v>40</v>
      </c>
      <c r="D266" s="13" t="s">
        <v>29</v>
      </c>
      <c r="E266" s="46">
        <v>71</v>
      </c>
      <c r="F266" s="46">
        <v>254</v>
      </c>
      <c r="G266" s="46">
        <v>101.652</v>
      </c>
      <c r="H266" s="46">
        <v>98</v>
      </c>
      <c r="I266" s="46">
        <v>23.285499999999999</v>
      </c>
      <c r="J266" s="47">
        <v>86.249899999999997</v>
      </c>
      <c r="K266" s="8">
        <v>252.446</v>
      </c>
      <c r="L266" s="22">
        <f t="shared" si="3"/>
        <v>0.30084941824747991</v>
      </c>
      <c r="M266" s="22">
        <f t="shared" si="4"/>
        <v>-0.94823223890331576</v>
      </c>
      <c r="N266" s="22">
        <f t="shared" si="5"/>
        <v>29.633712824789512</v>
      </c>
    </row>
    <row r="267" spans="1:14" ht="16">
      <c r="A267" s="13" t="s">
        <v>58</v>
      </c>
      <c r="B267" s="13" t="s">
        <v>57</v>
      </c>
      <c r="C267" s="13">
        <v>40</v>
      </c>
      <c r="D267" s="13" t="s">
        <v>30</v>
      </c>
      <c r="E267" s="46">
        <v>71</v>
      </c>
      <c r="F267" s="46">
        <v>254</v>
      </c>
      <c r="G267" s="46">
        <v>101.322</v>
      </c>
      <c r="H267" s="46">
        <v>97</v>
      </c>
      <c r="I267" s="46">
        <v>23.159199999999998</v>
      </c>
      <c r="J267" s="47">
        <v>86.249899999999997</v>
      </c>
      <c r="K267" s="8">
        <v>252.446</v>
      </c>
      <c r="L267" s="22">
        <f t="shared" si="3"/>
        <v>0.30084941824747991</v>
      </c>
      <c r="M267" s="22">
        <f t="shared" si="4"/>
        <v>-0.94823223890331576</v>
      </c>
      <c r="N267" s="22">
        <f t="shared" si="5"/>
        <v>29.534432516767843</v>
      </c>
    </row>
    <row r="268" spans="1:14" ht="16">
      <c r="A268" s="16" t="s">
        <v>58</v>
      </c>
      <c r="B268" s="16" t="s">
        <v>57</v>
      </c>
      <c r="C268" s="16">
        <v>40</v>
      </c>
      <c r="D268" s="16" t="s">
        <v>53</v>
      </c>
      <c r="E268" s="16">
        <v>91</v>
      </c>
      <c r="F268" s="16">
        <v>254</v>
      </c>
      <c r="G268" s="16">
        <v>137.084</v>
      </c>
      <c r="H268" s="16">
        <v>131</v>
      </c>
      <c r="I268" s="16">
        <v>33.792299999999997</v>
      </c>
      <c r="J268" s="47">
        <v>86.249899999999997</v>
      </c>
      <c r="K268" s="8">
        <v>252.446</v>
      </c>
      <c r="L268" s="22">
        <f t="shared" si="3"/>
        <v>0.30084941824747991</v>
      </c>
      <c r="M268" s="22">
        <f t="shared" si="4"/>
        <v>-0.94823223890331576</v>
      </c>
      <c r="N268" s="22">
        <f t="shared" si="5"/>
        <v>40.293409412134217</v>
      </c>
    </row>
    <row r="269" spans="1:14" ht="16">
      <c r="A269" s="16" t="s">
        <v>58</v>
      </c>
      <c r="B269" s="16" t="s">
        <v>57</v>
      </c>
      <c r="C269" s="16">
        <v>40</v>
      </c>
      <c r="D269" s="16" t="s">
        <v>32</v>
      </c>
      <c r="E269" s="16">
        <v>91</v>
      </c>
      <c r="F269" s="16">
        <v>254</v>
      </c>
      <c r="G269" s="16">
        <v>136.19399999999999</v>
      </c>
      <c r="H269" s="16">
        <v>130</v>
      </c>
      <c r="I269" s="16">
        <v>33.308100000000003</v>
      </c>
      <c r="J269" s="47">
        <v>86.249899999999997</v>
      </c>
      <c r="K269" s="8">
        <v>252.446</v>
      </c>
      <c r="L269" s="22">
        <f t="shared" si="3"/>
        <v>0.30084941824747991</v>
      </c>
      <c r="M269" s="22">
        <f t="shared" si="4"/>
        <v>-0.94823223890331576</v>
      </c>
      <c r="N269" s="22">
        <f t="shared" si="5"/>
        <v>40.025653429893957</v>
      </c>
    </row>
    <row r="270" spans="1:14" ht="16">
      <c r="A270" s="16" t="s">
        <v>58</v>
      </c>
      <c r="B270" s="16" t="s">
        <v>57</v>
      </c>
      <c r="C270" s="16">
        <v>40</v>
      </c>
      <c r="D270" s="16" t="s">
        <v>33</v>
      </c>
      <c r="E270" s="16">
        <v>91</v>
      </c>
      <c r="F270" s="16">
        <v>254</v>
      </c>
      <c r="G270" s="16">
        <v>139.53</v>
      </c>
      <c r="H270" s="16">
        <v>133</v>
      </c>
      <c r="I270" s="16">
        <v>35.783299999999997</v>
      </c>
      <c r="J270" s="47">
        <v>86.249899999999997</v>
      </c>
      <c r="K270" s="8">
        <v>252.446</v>
      </c>
      <c r="L270" s="22">
        <f t="shared" si="3"/>
        <v>0.30084941824747991</v>
      </c>
      <c r="M270" s="22">
        <f t="shared" si="4"/>
        <v>-0.94823223890331576</v>
      </c>
      <c r="N270" s="22">
        <f t="shared" si="5"/>
        <v>41.029287089167553</v>
      </c>
    </row>
    <row r="271" spans="1:14" ht="16">
      <c r="A271" s="16" t="s">
        <v>58</v>
      </c>
      <c r="B271" s="16" t="s">
        <v>57</v>
      </c>
      <c r="C271" s="16">
        <v>40</v>
      </c>
      <c r="D271" s="16" t="s">
        <v>34</v>
      </c>
      <c r="E271" s="16">
        <v>91</v>
      </c>
      <c r="F271" s="16">
        <v>254</v>
      </c>
      <c r="G271" s="16">
        <v>142.21</v>
      </c>
      <c r="H271" s="16">
        <v>136</v>
      </c>
      <c r="I271" s="16">
        <v>37.892600000000002</v>
      </c>
      <c r="J271" s="47">
        <v>86.249899999999997</v>
      </c>
      <c r="K271" s="8">
        <v>252.446</v>
      </c>
      <c r="L271" s="22">
        <f t="shared" si="3"/>
        <v>0.30084941824747991</v>
      </c>
      <c r="M271" s="22">
        <f t="shared" si="4"/>
        <v>-0.94823223890331576</v>
      </c>
      <c r="N271" s="22">
        <f t="shared" si="5"/>
        <v>41.835563530070807</v>
      </c>
    </row>
    <row r="272" spans="1:14" ht="16">
      <c r="A272" s="16" t="s">
        <v>58</v>
      </c>
      <c r="B272" s="16" t="s">
        <v>57</v>
      </c>
      <c r="C272" s="16">
        <v>40</v>
      </c>
      <c r="D272" s="16" t="s">
        <v>35</v>
      </c>
      <c r="E272" s="16">
        <v>91</v>
      </c>
      <c r="F272" s="16">
        <v>254</v>
      </c>
      <c r="G272" s="16">
        <v>141.27099999999999</v>
      </c>
      <c r="H272" s="16">
        <v>135</v>
      </c>
      <c r="I272" s="16">
        <v>36.788400000000003</v>
      </c>
      <c r="J272" s="47">
        <v>86.249899999999997</v>
      </c>
      <c r="K272" s="8">
        <v>252.446</v>
      </c>
      <c r="L272" s="22">
        <f t="shared" si="3"/>
        <v>0.30084941824747991</v>
      </c>
      <c r="M272" s="22">
        <f t="shared" si="4"/>
        <v>-0.94823223890331576</v>
      </c>
      <c r="N272" s="22">
        <f t="shared" si="5"/>
        <v>41.553065926336416</v>
      </c>
    </row>
    <row r="273" spans="1:14" ht="16">
      <c r="A273" s="6" t="s">
        <v>58</v>
      </c>
      <c r="B273" s="38" t="s">
        <v>20</v>
      </c>
      <c r="C273" s="42">
        <v>34</v>
      </c>
      <c r="D273" s="6" t="s">
        <v>21</v>
      </c>
      <c r="E273" s="42">
        <v>83</v>
      </c>
      <c r="F273" s="42">
        <v>254</v>
      </c>
      <c r="G273" s="42">
        <v>127.139</v>
      </c>
      <c r="H273" s="42">
        <v>122</v>
      </c>
      <c r="I273" s="42">
        <v>32.325299999999999</v>
      </c>
      <c r="J273" s="47">
        <v>86.249899999999997</v>
      </c>
      <c r="K273" s="8">
        <v>252.446</v>
      </c>
      <c r="L273" s="22">
        <f t="shared" si="3"/>
        <v>0.30084941824747991</v>
      </c>
      <c r="M273" s="22">
        <f t="shared" si="4"/>
        <v>-0.94823223890331576</v>
      </c>
      <c r="N273" s="22">
        <f t="shared" si="5"/>
        <v>37.301461947663029</v>
      </c>
    </row>
    <row r="274" spans="1:14" ht="16">
      <c r="A274" s="6" t="s">
        <v>58</v>
      </c>
      <c r="B274" s="38" t="s">
        <v>20</v>
      </c>
      <c r="C274" s="42">
        <v>34</v>
      </c>
      <c r="D274" s="6" t="s">
        <v>22</v>
      </c>
      <c r="E274" s="42">
        <v>83</v>
      </c>
      <c r="F274" s="42">
        <v>254</v>
      </c>
      <c r="G274" s="42">
        <v>124.044</v>
      </c>
      <c r="H274" s="42">
        <v>117</v>
      </c>
      <c r="I274" s="42">
        <v>31.3978</v>
      </c>
      <c r="J274" s="47">
        <v>86.249899999999997</v>
      </c>
      <c r="K274" s="8">
        <v>252.446</v>
      </c>
      <c r="L274" s="22">
        <f t="shared" si="3"/>
        <v>0.30084941824747991</v>
      </c>
      <c r="M274" s="22">
        <f t="shared" si="4"/>
        <v>-0.94823223890331576</v>
      </c>
      <c r="N274" s="22">
        <f t="shared" si="5"/>
        <v>36.370332998187081</v>
      </c>
    </row>
    <row r="275" spans="1:14" ht="16">
      <c r="A275" s="6" t="s">
        <v>58</v>
      </c>
      <c r="B275" s="38" t="s">
        <v>20</v>
      </c>
      <c r="C275" s="42">
        <v>34</v>
      </c>
      <c r="D275" s="6" t="s">
        <v>23</v>
      </c>
      <c r="E275" s="42">
        <v>83</v>
      </c>
      <c r="F275" s="42">
        <v>254</v>
      </c>
      <c r="G275" s="42">
        <v>120.76</v>
      </c>
      <c r="H275" s="42">
        <v>114</v>
      </c>
      <c r="I275" s="42">
        <v>29.1633</v>
      </c>
      <c r="J275" s="47">
        <v>86.249899999999997</v>
      </c>
      <c r="K275" s="8">
        <v>252.446</v>
      </c>
      <c r="L275" s="22">
        <f t="shared" si="3"/>
        <v>0.30084941824747991</v>
      </c>
      <c r="M275" s="22">
        <f t="shared" si="4"/>
        <v>-0.94823223890331576</v>
      </c>
      <c r="N275" s="22">
        <f t="shared" si="5"/>
        <v>35.382343508662359</v>
      </c>
    </row>
    <row r="276" spans="1:14" ht="16">
      <c r="A276" s="6" t="s">
        <v>58</v>
      </c>
      <c r="B276" s="38" t="s">
        <v>20</v>
      </c>
      <c r="C276" s="42">
        <v>34</v>
      </c>
      <c r="D276" s="6" t="s">
        <v>24</v>
      </c>
      <c r="E276" s="42">
        <v>83</v>
      </c>
      <c r="F276" s="42">
        <v>251</v>
      </c>
      <c r="G276" s="42">
        <v>116.878</v>
      </c>
      <c r="H276" s="42">
        <v>111</v>
      </c>
      <c r="I276" s="42">
        <v>25.921399999999998</v>
      </c>
      <c r="J276" s="47">
        <v>86.249899999999997</v>
      </c>
      <c r="K276" s="8">
        <v>252.446</v>
      </c>
      <c r="L276" s="22">
        <f t="shared" si="3"/>
        <v>0.30084941824747991</v>
      </c>
      <c r="M276" s="22">
        <f t="shared" si="4"/>
        <v>-0.94823223890331576</v>
      </c>
      <c r="N276" s="22">
        <f t="shared" si="5"/>
        <v>34.214446067025641</v>
      </c>
    </row>
    <row r="277" spans="1:14" ht="16">
      <c r="A277" s="6" t="s">
        <v>58</v>
      </c>
      <c r="B277" s="38" t="s">
        <v>20</v>
      </c>
      <c r="C277" s="42">
        <v>34</v>
      </c>
      <c r="D277" s="6" t="s">
        <v>25</v>
      </c>
      <c r="E277" s="42">
        <v>83</v>
      </c>
      <c r="F277" s="42">
        <v>242</v>
      </c>
      <c r="G277" s="42">
        <v>114.02</v>
      </c>
      <c r="H277" s="42">
        <v>109</v>
      </c>
      <c r="I277" s="42">
        <v>24.033100000000001</v>
      </c>
      <c r="J277" s="47">
        <v>86.249899999999997</v>
      </c>
      <c r="K277" s="8">
        <v>252.446</v>
      </c>
      <c r="L277" s="22">
        <f t="shared" si="3"/>
        <v>0.30084941824747991</v>
      </c>
      <c r="M277" s="22">
        <f t="shared" si="4"/>
        <v>-0.94823223890331576</v>
      </c>
      <c r="N277" s="22">
        <f t="shared" si="5"/>
        <v>33.354618429674339</v>
      </c>
    </row>
    <row r="278" spans="1:14" ht="16">
      <c r="A278" s="13" t="s">
        <v>58</v>
      </c>
      <c r="B278" s="39" t="s">
        <v>20</v>
      </c>
      <c r="C278" s="43">
        <v>34</v>
      </c>
      <c r="D278" s="13" t="s">
        <v>52</v>
      </c>
      <c r="E278" s="48">
        <v>79</v>
      </c>
      <c r="F278" s="48">
        <v>241</v>
      </c>
      <c r="G278" s="48">
        <v>104.83799999999999</v>
      </c>
      <c r="H278" s="48">
        <v>101</v>
      </c>
      <c r="I278" s="48">
        <v>19.734400000000001</v>
      </c>
      <c r="J278" s="47">
        <v>86.249899999999997</v>
      </c>
      <c r="K278" s="8">
        <v>252.446</v>
      </c>
      <c r="L278" s="22">
        <f t="shared" si="3"/>
        <v>0.30084941824747991</v>
      </c>
      <c r="M278" s="22">
        <f t="shared" si="4"/>
        <v>-0.94823223890331576</v>
      </c>
      <c r="N278" s="22">
        <f t="shared" si="5"/>
        <v>30.592219071325982</v>
      </c>
    </row>
    <row r="279" spans="1:14" ht="16">
      <c r="A279" s="13" t="s">
        <v>58</v>
      </c>
      <c r="B279" s="39" t="s">
        <v>20</v>
      </c>
      <c r="C279" s="43">
        <v>34</v>
      </c>
      <c r="D279" s="13" t="s">
        <v>27</v>
      </c>
      <c r="E279" s="48">
        <v>79</v>
      </c>
      <c r="F279" s="48">
        <v>254</v>
      </c>
      <c r="G279" s="48">
        <v>104.804</v>
      </c>
      <c r="H279" s="48">
        <v>101</v>
      </c>
      <c r="I279" s="48">
        <v>19.8658</v>
      </c>
      <c r="J279" s="47">
        <v>86.249899999999997</v>
      </c>
      <c r="K279" s="8">
        <v>252.446</v>
      </c>
      <c r="L279" s="22">
        <f t="shared" si="3"/>
        <v>0.30084941824747991</v>
      </c>
      <c r="M279" s="22">
        <f t="shared" si="4"/>
        <v>-0.94823223890331576</v>
      </c>
      <c r="N279" s="22">
        <f t="shared" si="5"/>
        <v>30.581990191105568</v>
      </c>
    </row>
    <row r="280" spans="1:14" ht="16">
      <c r="A280" s="13" t="s">
        <v>58</v>
      </c>
      <c r="B280" s="39" t="s">
        <v>20</v>
      </c>
      <c r="C280" s="43">
        <v>34</v>
      </c>
      <c r="D280" s="13" t="s">
        <v>28</v>
      </c>
      <c r="E280" s="48">
        <v>79</v>
      </c>
      <c r="F280" s="48">
        <v>224</v>
      </c>
      <c r="G280" s="48">
        <v>105.553</v>
      </c>
      <c r="H280" s="48">
        <v>102</v>
      </c>
      <c r="I280" s="48">
        <v>19.887699999999999</v>
      </c>
      <c r="J280" s="47">
        <v>86.249899999999997</v>
      </c>
      <c r="K280" s="8">
        <v>252.446</v>
      </c>
      <c r="L280" s="22">
        <f t="shared" si="3"/>
        <v>0.30084941824747991</v>
      </c>
      <c r="M280" s="22">
        <f t="shared" si="4"/>
        <v>-0.94823223890331576</v>
      </c>
      <c r="N280" s="22">
        <f t="shared" si="5"/>
        <v>30.80732640537293</v>
      </c>
    </row>
    <row r="281" spans="1:14" ht="16">
      <c r="A281" s="13" t="s">
        <v>58</v>
      </c>
      <c r="B281" s="39" t="s">
        <v>20</v>
      </c>
      <c r="C281" s="43">
        <v>34</v>
      </c>
      <c r="D281" s="13" t="s">
        <v>29</v>
      </c>
      <c r="E281" s="48">
        <v>79</v>
      </c>
      <c r="F281" s="48">
        <v>254</v>
      </c>
      <c r="G281" s="48">
        <v>106.705</v>
      </c>
      <c r="H281" s="48">
        <v>102</v>
      </c>
      <c r="I281" s="48">
        <v>21.489799999999999</v>
      </c>
      <c r="J281" s="47">
        <v>86.249899999999997</v>
      </c>
      <c r="K281" s="8">
        <v>252.446</v>
      </c>
      <c r="L281" s="22">
        <f t="shared" si="3"/>
        <v>0.30084941824747991</v>
      </c>
      <c r="M281" s="22">
        <f t="shared" si="4"/>
        <v>-0.94823223890331576</v>
      </c>
      <c r="N281" s="22">
        <f t="shared" si="5"/>
        <v>31.153904935194028</v>
      </c>
    </row>
    <row r="282" spans="1:14" ht="16">
      <c r="A282" s="13" t="s">
        <v>58</v>
      </c>
      <c r="B282" s="39" t="s">
        <v>20</v>
      </c>
      <c r="C282" s="43">
        <v>34</v>
      </c>
      <c r="D282" s="13" t="s">
        <v>30</v>
      </c>
      <c r="E282" s="48">
        <v>79</v>
      </c>
      <c r="F282" s="48">
        <v>231</v>
      </c>
      <c r="G282" s="48">
        <v>104.739</v>
      </c>
      <c r="H282" s="48">
        <v>101</v>
      </c>
      <c r="I282" s="48">
        <v>19.937799999999999</v>
      </c>
      <c r="J282" s="47">
        <v>86.249899999999997</v>
      </c>
      <c r="K282" s="8">
        <v>252.446</v>
      </c>
      <c r="L282" s="22">
        <f t="shared" si="3"/>
        <v>0.30084941824747991</v>
      </c>
      <c r="M282" s="22">
        <f t="shared" si="4"/>
        <v>-0.94823223890331576</v>
      </c>
      <c r="N282" s="22">
        <f t="shared" si="5"/>
        <v>30.562434978919484</v>
      </c>
    </row>
    <row r="283" spans="1:14" ht="16">
      <c r="A283" s="16" t="s">
        <v>58</v>
      </c>
      <c r="B283" s="49" t="s">
        <v>20</v>
      </c>
      <c r="C283" s="50">
        <v>34</v>
      </c>
      <c r="D283" s="16" t="s">
        <v>53</v>
      </c>
      <c r="E283" s="50">
        <v>92</v>
      </c>
      <c r="F283" s="50">
        <v>254</v>
      </c>
      <c r="G283" s="50">
        <v>136.58500000000001</v>
      </c>
      <c r="H283" s="50">
        <v>131</v>
      </c>
      <c r="I283" s="50">
        <v>32.536200000000001</v>
      </c>
      <c r="J283" s="47">
        <v>86.249899999999997</v>
      </c>
      <c r="K283" s="8">
        <v>252.446</v>
      </c>
      <c r="L283" s="22">
        <f t="shared" si="3"/>
        <v>0.30084941824747991</v>
      </c>
      <c r="M283" s="22">
        <f t="shared" si="4"/>
        <v>-0.94823223890331576</v>
      </c>
      <c r="N283" s="22">
        <f t="shared" si="5"/>
        <v>40.143285552428729</v>
      </c>
    </row>
    <row r="284" spans="1:14" ht="16">
      <c r="A284" s="16" t="s">
        <v>58</v>
      </c>
      <c r="B284" s="49" t="s">
        <v>20</v>
      </c>
      <c r="C284" s="50">
        <v>34</v>
      </c>
      <c r="D284" s="16" t="s">
        <v>32</v>
      </c>
      <c r="E284" s="50">
        <v>92</v>
      </c>
      <c r="F284" s="50">
        <v>254</v>
      </c>
      <c r="G284" s="50">
        <v>137.42400000000001</v>
      </c>
      <c r="H284" s="50">
        <v>132</v>
      </c>
      <c r="I284" s="50">
        <v>33.194600000000001</v>
      </c>
      <c r="J284" s="47">
        <v>86.249899999999997</v>
      </c>
      <c r="K284" s="8">
        <v>252.446</v>
      </c>
      <c r="L284" s="22">
        <f t="shared" si="3"/>
        <v>0.30084941824747991</v>
      </c>
      <c r="M284" s="22">
        <f t="shared" si="4"/>
        <v>-0.94823223890331576</v>
      </c>
      <c r="N284" s="22">
        <f t="shared" si="5"/>
        <v>40.395698214338367</v>
      </c>
    </row>
    <row r="285" spans="1:14" ht="16">
      <c r="A285" s="16" t="s">
        <v>58</v>
      </c>
      <c r="B285" s="49" t="s">
        <v>20</v>
      </c>
      <c r="C285" s="50">
        <v>34</v>
      </c>
      <c r="D285" s="16" t="s">
        <v>33</v>
      </c>
      <c r="E285" s="50">
        <v>92</v>
      </c>
      <c r="F285" s="50">
        <v>254</v>
      </c>
      <c r="G285" s="50">
        <v>138.34800000000001</v>
      </c>
      <c r="H285" s="50">
        <v>132</v>
      </c>
      <c r="I285" s="50">
        <v>34.318399999999997</v>
      </c>
      <c r="J285" s="47">
        <v>86.249899999999997</v>
      </c>
      <c r="K285" s="8">
        <v>252.446</v>
      </c>
      <c r="L285" s="22">
        <f t="shared" si="3"/>
        <v>0.30084941824747991</v>
      </c>
      <c r="M285" s="22">
        <f t="shared" si="4"/>
        <v>-0.94823223890331576</v>
      </c>
      <c r="N285" s="22">
        <f t="shared" si="5"/>
        <v>40.673683076799037</v>
      </c>
    </row>
    <row r="286" spans="1:14" ht="16">
      <c r="A286" s="16" t="s">
        <v>58</v>
      </c>
      <c r="B286" s="49" t="s">
        <v>20</v>
      </c>
      <c r="C286" s="50">
        <v>34</v>
      </c>
      <c r="D286" s="16" t="s">
        <v>34</v>
      </c>
      <c r="E286" s="50">
        <v>92</v>
      </c>
      <c r="F286" s="50">
        <v>254</v>
      </c>
      <c r="G286" s="50">
        <v>140.74299999999999</v>
      </c>
      <c r="H286" s="50">
        <v>134</v>
      </c>
      <c r="I286" s="50">
        <v>35.6526</v>
      </c>
      <c r="J286" s="47">
        <v>86.249899999999997</v>
      </c>
      <c r="K286" s="8">
        <v>252.446</v>
      </c>
      <c r="L286" s="22">
        <f t="shared" si="3"/>
        <v>0.30084941824747991</v>
      </c>
      <c r="M286" s="22">
        <f t="shared" si="4"/>
        <v>-0.94823223890331576</v>
      </c>
      <c r="N286" s="22">
        <f t="shared" si="5"/>
        <v>41.394217433501744</v>
      </c>
    </row>
    <row r="287" spans="1:14" ht="16">
      <c r="A287" s="16" t="s">
        <v>58</v>
      </c>
      <c r="B287" s="49" t="s">
        <v>20</v>
      </c>
      <c r="C287" s="50">
        <v>34</v>
      </c>
      <c r="D287" s="16" t="s">
        <v>35</v>
      </c>
      <c r="E287" s="50">
        <v>92</v>
      </c>
      <c r="F287" s="50">
        <v>254</v>
      </c>
      <c r="G287" s="50">
        <v>140.03200000000001</v>
      </c>
      <c r="H287" s="50">
        <v>133</v>
      </c>
      <c r="I287" s="50">
        <v>35.697699999999998</v>
      </c>
      <c r="J287" s="47">
        <v>86.249899999999997</v>
      </c>
      <c r="K287" s="8">
        <v>252.446</v>
      </c>
      <c r="L287" s="22">
        <f t="shared" si="3"/>
        <v>0.30084941824747991</v>
      </c>
      <c r="M287" s="22">
        <f t="shared" si="4"/>
        <v>-0.94823223890331576</v>
      </c>
      <c r="N287" s="22">
        <f t="shared" si="5"/>
        <v>41.180313497127791</v>
      </c>
    </row>
    <row r="288" spans="1:14" ht="16">
      <c r="A288" s="6" t="s">
        <v>59</v>
      </c>
      <c r="B288" s="38" t="s">
        <v>60</v>
      </c>
      <c r="C288" s="42">
        <v>75</v>
      </c>
      <c r="D288" s="38" t="s">
        <v>21</v>
      </c>
      <c r="E288" s="42">
        <v>63</v>
      </c>
      <c r="F288" s="42">
        <v>195</v>
      </c>
      <c r="G288" s="42">
        <v>105.845</v>
      </c>
      <c r="H288" s="42">
        <v>102</v>
      </c>
      <c r="I288" s="42">
        <v>29.069400000000002</v>
      </c>
      <c r="J288" s="47">
        <v>49.475200000000001</v>
      </c>
      <c r="K288" s="47">
        <v>123.51300000000001</v>
      </c>
      <c r="L288" s="22">
        <f t="shared" si="3"/>
        <v>0.67533070944841689</v>
      </c>
      <c r="M288" s="22">
        <f t="shared" si="4"/>
        <v>-8.4121219161023149</v>
      </c>
      <c r="N288" s="22">
        <f t="shared" si="5"/>
        <v>63.068257025465364</v>
      </c>
    </row>
    <row r="289" spans="1:14" ht="16">
      <c r="A289" s="6" t="s">
        <v>59</v>
      </c>
      <c r="B289" s="38" t="s">
        <v>60</v>
      </c>
      <c r="C289" s="42">
        <v>75</v>
      </c>
      <c r="D289" s="38" t="s">
        <v>22</v>
      </c>
      <c r="E289" s="42">
        <v>63</v>
      </c>
      <c r="F289" s="42">
        <v>196</v>
      </c>
      <c r="G289" s="42">
        <v>102.027</v>
      </c>
      <c r="H289" s="42">
        <v>97</v>
      </c>
      <c r="I289" s="42">
        <v>27.780999999999999</v>
      </c>
      <c r="J289" s="47">
        <v>49.475200000000001</v>
      </c>
      <c r="K289" s="47">
        <v>123.51300000000001</v>
      </c>
      <c r="L289" s="22">
        <f t="shared" si="3"/>
        <v>0.67533070944841689</v>
      </c>
      <c r="M289" s="22">
        <f t="shared" si="4"/>
        <v>-8.4121219161023149</v>
      </c>
      <c r="N289" s="22">
        <f t="shared" si="5"/>
        <v>60.489844376791318</v>
      </c>
    </row>
    <row r="290" spans="1:14" ht="16">
      <c r="A290" s="6" t="s">
        <v>59</v>
      </c>
      <c r="B290" s="38" t="s">
        <v>60</v>
      </c>
      <c r="C290" s="42">
        <v>75</v>
      </c>
      <c r="D290" s="38" t="s">
        <v>23</v>
      </c>
      <c r="E290" s="42">
        <v>63</v>
      </c>
      <c r="F290" s="42">
        <v>203</v>
      </c>
      <c r="G290" s="42">
        <v>98.341399999999993</v>
      </c>
      <c r="H290" s="42">
        <v>92</v>
      </c>
      <c r="I290" s="42">
        <v>27.170400000000001</v>
      </c>
      <c r="J290" s="47">
        <v>49.475200000000001</v>
      </c>
      <c r="K290" s="47">
        <v>123.51300000000001</v>
      </c>
      <c r="L290" s="22">
        <f t="shared" si="3"/>
        <v>0.67533070944841689</v>
      </c>
      <c r="M290" s="22">
        <f t="shared" si="4"/>
        <v>-8.4121219161023149</v>
      </c>
      <c r="N290" s="22">
        <f t="shared" si="5"/>
        <v>58.00084551404823</v>
      </c>
    </row>
    <row r="291" spans="1:14" ht="16">
      <c r="A291" s="6" t="s">
        <v>59</v>
      </c>
      <c r="B291" s="38" t="s">
        <v>60</v>
      </c>
      <c r="C291" s="42">
        <v>75</v>
      </c>
      <c r="D291" s="38" t="s">
        <v>24</v>
      </c>
      <c r="E291" s="42">
        <v>63</v>
      </c>
      <c r="F291" s="42">
        <v>185</v>
      </c>
      <c r="G291" s="42">
        <v>95.989000000000004</v>
      </c>
      <c r="H291" s="42">
        <v>90</v>
      </c>
      <c r="I291" s="42">
        <v>24.582000000000001</v>
      </c>
      <c r="J291" s="47">
        <v>49.475200000000001</v>
      </c>
      <c r="K291" s="47">
        <v>123.51300000000001</v>
      </c>
      <c r="L291" s="22">
        <f t="shared" si="3"/>
        <v>0.67533070944841689</v>
      </c>
      <c r="M291" s="22">
        <f t="shared" si="4"/>
        <v>-8.4121219161023149</v>
      </c>
      <c r="N291" s="22">
        <f t="shared" si="5"/>
        <v>56.412197553141773</v>
      </c>
    </row>
    <row r="292" spans="1:14" ht="16">
      <c r="A292" s="6" t="s">
        <v>59</v>
      </c>
      <c r="B292" s="38" t="s">
        <v>60</v>
      </c>
      <c r="C292" s="42">
        <v>75</v>
      </c>
      <c r="D292" s="38" t="s">
        <v>25</v>
      </c>
      <c r="E292" s="42">
        <v>63</v>
      </c>
      <c r="F292" s="42">
        <v>179</v>
      </c>
      <c r="G292" s="42">
        <v>93.334800000000001</v>
      </c>
      <c r="H292" s="42">
        <v>88</v>
      </c>
      <c r="I292" s="42">
        <v>22.8886</v>
      </c>
      <c r="J292" s="47">
        <v>49.475200000000001</v>
      </c>
      <c r="K292" s="47">
        <v>123.51300000000001</v>
      </c>
      <c r="L292" s="22">
        <f t="shared" si="3"/>
        <v>0.67533070944841689</v>
      </c>
      <c r="M292" s="22">
        <f t="shared" si="4"/>
        <v>-8.4121219161023149</v>
      </c>
      <c r="N292" s="22">
        <f t="shared" si="5"/>
        <v>54.619734784123786</v>
      </c>
    </row>
    <row r="293" spans="1:14" ht="16">
      <c r="A293" s="13" t="s">
        <v>59</v>
      </c>
      <c r="B293" s="39" t="s">
        <v>60</v>
      </c>
      <c r="C293" s="43">
        <v>75</v>
      </c>
      <c r="D293" s="39" t="s">
        <v>26</v>
      </c>
      <c r="E293" s="48">
        <v>40</v>
      </c>
      <c r="F293" s="48">
        <v>143</v>
      </c>
      <c r="G293" s="48">
        <v>64.902299999999997</v>
      </c>
      <c r="H293" s="13">
        <v>60</v>
      </c>
      <c r="I293" s="13">
        <v>19.537600000000001</v>
      </c>
      <c r="J293" s="47">
        <v>49.475200000000001</v>
      </c>
      <c r="K293" s="47">
        <v>123.51300000000001</v>
      </c>
      <c r="L293" s="22">
        <f t="shared" si="3"/>
        <v>0.67533070944841689</v>
      </c>
      <c r="M293" s="22">
        <f t="shared" si="4"/>
        <v>-8.4121219161023149</v>
      </c>
      <c r="N293" s="22">
        <f t="shared" si="5"/>
        <v>35.418394387731674</v>
      </c>
    </row>
    <row r="294" spans="1:14" ht="16">
      <c r="A294" s="13" t="s">
        <v>59</v>
      </c>
      <c r="B294" s="39" t="s">
        <v>60</v>
      </c>
      <c r="C294" s="43">
        <v>75</v>
      </c>
      <c r="D294" s="39" t="s">
        <v>27</v>
      </c>
      <c r="E294" s="48">
        <v>40</v>
      </c>
      <c r="F294" s="48">
        <v>150</v>
      </c>
      <c r="G294" s="48">
        <v>65.701700000000002</v>
      </c>
      <c r="H294" s="13">
        <v>61</v>
      </c>
      <c r="I294" s="13">
        <v>20.140999999999998</v>
      </c>
      <c r="J294" s="47">
        <v>49.475200000000001</v>
      </c>
      <c r="K294" s="47">
        <v>123.51300000000001</v>
      </c>
      <c r="L294" s="22">
        <f t="shared" si="3"/>
        <v>0.67533070944841689</v>
      </c>
      <c r="M294" s="22">
        <f t="shared" si="4"/>
        <v>-8.4121219161023149</v>
      </c>
      <c r="N294" s="22">
        <f t="shared" si="5"/>
        <v>35.958253756864735</v>
      </c>
    </row>
    <row r="295" spans="1:14" ht="16">
      <c r="A295" s="13" t="s">
        <v>59</v>
      </c>
      <c r="B295" s="39" t="s">
        <v>60</v>
      </c>
      <c r="C295" s="43">
        <v>75</v>
      </c>
      <c r="D295" s="39" t="s">
        <v>28</v>
      </c>
      <c r="E295" s="48">
        <v>40</v>
      </c>
      <c r="F295" s="48">
        <v>149</v>
      </c>
      <c r="G295" s="48">
        <v>65.458399999999997</v>
      </c>
      <c r="H295" s="13">
        <v>60</v>
      </c>
      <c r="I295" s="13">
        <v>19.875800000000002</v>
      </c>
      <c r="J295" s="47">
        <v>49.475200000000001</v>
      </c>
      <c r="K295" s="47">
        <v>123.51300000000001</v>
      </c>
      <c r="L295" s="22">
        <f t="shared" si="3"/>
        <v>0.67533070944841689</v>
      </c>
      <c r="M295" s="22">
        <f t="shared" si="4"/>
        <v>-8.4121219161023149</v>
      </c>
      <c r="N295" s="22">
        <f t="shared" si="5"/>
        <v>35.793945795255937</v>
      </c>
    </row>
    <row r="296" spans="1:14" ht="16">
      <c r="A296" s="13" t="s">
        <v>59</v>
      </c>
      <c r="B296" s="39" t="s">
        <v>60</v>
      </c>
      <c r="C296" s="43">
        <v>75</v>
      </c>
      <c r="D296" s="39" t="s">
        <v>29</v>
      </c>
      <c r="E296" s="48">
        <v>40</v>
      </c>
      <c r="F296" s="48">
        <v>145</v>
      </c>
      <c r="G296" s="48">
        <v>65.420699999999997</v>
      </c>
      <c r="H296" s="13">
        <v>60</v>
      </c>
      <c r="I296" s="13">
        <v>19.865200000000002</v>
      </c>
      <c r="J296" s="47">
        <v>49.475200000000001</v>
      </c>
      <c r="K296" s="47">
        <v>123.51300000000001</v>
      </c>
      <c r="L296" s="22">
        <f t="shared" si="3"/>
        <v>0.67533070944841689</v>
      </c>
      <c r="M296" s="22">
        <f t="shared" si="4"/>
        <v>-8.4121219161023149</v>
      </c>
      <c r="N296" s="22">
        <f t="shared" si="5"/>
        <v>35.768485827509728</v>
      </c>
    </row>
    <row r="297" spans="1:14" ht="16">
      <c r="A297" s="13" t="s">
        <v>59</v>
      </c>
      <c r="B297" s="39" t="s">
        <v>60</v>
      </c>
      <c r="C297" s="43">
        <v>75</v>
      </c>
      <c r="D297" s="39" t="s">
        <v>30</v>
      </c>
      <c r="E297" s="48">
        <v>40</v>
      </c>
      <c r="F297" s="48">
        <v>121</v>
      </c>
      <c r="G297" s="48">
        <v>65.170500000000004</v>
      </c>
      <c r="H297" s="13">
        <v>60</v>
      </c>
      <c r="I297" s="13">
        <v>19.606200000000001</v>
      </c>
      <c r="J297" s="47">
        <v>49.475200000000001</v>
      </c>
      <c r="K297" s="47">
        <v>123.51300000000001</v>
      </c>
      <c r="L297" s="22">
        <f t="shared" si="3"/>
        <v>0.67533070944841689</v>
      </c>
      <c r="M297" s="22">
        <f t="shared" si="4"/>
        <v>-8.4121219161023149</v>
      </c>
      <c r="N297" s="22">
        <f t="shared" si="5"/>
        <v>35.599518084005737</v>
      </c>
    </row>
    <row r="298" spans="1:14" ht="16">
      <c r="A298" s="16" t="s">
        <v>59</v>
      </c>
      <c r="B298" s="49" t="s">
        <v>60</v>
      </c>
      <c r="C298" s="50">
        <v>75</v>
      </c>
      <c r="D298" s="49" t="s">
        <v>31</v>
      </c>
      <c r="E298" s="50">
        <v>53</v>
      </c>
      <c r="F298" s="50">
        <v>199</v>
      </c>
      <c r="G298" s="50">
        <v>97.677499999999995</v>
      </c>
      <c r="H298" s="50">
        <v>93</v>
      </c>
      <c r="I298" s="50">
        <v>31.2332</v>
      </c>
      <c r="J298" s="47">
        <v>49.475200000000001</v>
      </c>
      <c r="K298" s="47">
        <v>123.51300000000001</v>
      </c>
      <c r="L298" s="22">
        <f t="shared" si="3"/>
        <v>0.67533070944841689</v>
      </c>
      <c r="M298" s="22">
        <f t="shared" si="4"/>
        <v>-8.4121219161023149</v>
      </c>
      <c r="N298" s="22">
        <f t="shared" si="5"/>
        <v>57.552493456045418</v>
      </c>
    </row>
    <row r="299" spans="1:14" ht="16">
      <c r="A299" s="16" t="s">
        <v>59</v>
      </c>
      <c r="B299" s="49" t="s">
        <v>60</v>
      </c>
      <c r="C299" s="50">
        <v>75</v>
      </c>
      <c r="D299" s="49" t="s">
        <v>32</v>
      </c>
      <c r="E299" s="50">
        <v>53</v>
      </c>
      <c r="F299" s="50">
        <v>197</v>
      </c>
      <c r="G299" s="50">
        <v>95.823499999999996</v>
      </c>
      <c r="H299" s="50">
        <v>91</v>
      </c>
      <c r="I299" s="50">
        <v>30.8399</v>
      </c>
      <c r="J299" s="47">
        <v>49.475200000000001</v>
      </c>
      <c r="K299" s="47">
        <v>123.51300000000001</v>
      </c>
      <c r="L299" s="22">
        <f t="shared" si="3"/>
        <v>0.67533070944841689</v>
      </c>
      <c r="M299" s="22">
        <f t="shared" si="4"/>
        <v>-8.4121219161023149</v>
      </c>
      <c r="N299" s="22">
        <f t="shared" si="5"/>
        <v>56.300430320728061</v>
      </c>
    </row>
    <row r="300" spans="1:14" ht="16">
      <c r="A300" s="16" t="s">
        <v>59</v>
      </c>
      <c r="B300" s="49" t="s">
        <v>60</v>
      </c>
      <c r="C300" s="50">
        <v>75</v>
      </c>
      <c r="D300" s="49" t="s">
        <v>33</v>
      </c>
      <c r="E300" s="50">
        <v>53</v>
      </c>
      <c r="F300" s="50">
        <v>207</v>
      </c>
      <c r="G300" s="50">
        <v>92.695800000000006</v>
      </c>
      <c r="H300" s="50">
        <v>87</v>
      </c>
      <c r="I300" s="50">
        <v>28.979800000000001</v>
      </c>
      <c r="J300" s="47">
        <v>49.475200000000001</v>
      </c>
      <c r="K300" s="47">
        <v>123.51300000000001</v>
      </c>
      <c r="L300" s="22">
        <f t="shared" si="3"/>
        <v>0.67533070944841689</v>
      </c>
      <c r="M300" s="22">
        <f t="shared" si="4"/>
        <v>-8.4121219161023149</v>
      </c>
      <c r="N300" s="22">
        <f t="shared" si="5"/>
        <v>54.188198460786253</v>
      </c>
    </row>
    <row r="301" spans="1:14" ht="16">
      <c r="A301" s="16" t="s">
        <v>59</v>
      </c>
      <c r="B301" s="49" t="s">
        <v>60</v>
      </c>
      <c r="C301" s="50">
        <v>75</v>
      </c>
      <c r="D301" s="49" t="s">
        <v>34</v>
      </c>
      <c r="E301" s="50">
        <v>53</v>
      </c>
      <c r="F301" s="50">
        <v>206</v>
      </c>
      <c r="G301" s="50">
        <v>92.4114</v>
      </c>
      <c r="H301" s="50">
        <v>86</v>
      </c>
      <c r="I301" s="50">
        <v>29.055599999999998</v>
      </c>
      <c r="J301" s="47">
        <v>49.475200000000001</v>
      </c>
      <c r="K301" s="47">
        <v>123.51300000000001</v>
      </c>
      <c r="L301" s="22">
        <f t="shared" si="3"/>
        <v>0.67533070944841689</v>
      </c>
      <c r="M301" s="22">
        <f t="shared" si="4"/>
        <v>-8.4121219161023149</v>
      </c>
      <c r="N301" s="22">
        <f t="shared" si="5"/>
        <v>53.99613440701912</v>
      </c>
    </row>
    <row r="302" spans="1:14" ht="16">
      <c r="A302" s="16" t="s">
        <v>59</v>
      </c>
      <c r="B302" s="49" t="s">
        <v>60</v>
      </c>
      <c r="C302" s="50">
        <v>75</v>
      </c>
      <c r="D302" s="49" t="s">
        <v>35</v>
      </c>
      <c r="E302" s="50">
        <v>53</v>
      </c>
      <c r="F302" s="50">
        <v>195</v>
      </c>
      <c r="G302" s="50">
        <v>91.453199999999995</v>
      </c>
      <c r="H302" s="50">
        <v>85</v>
      </c>
      <c r="I302" s="50">
        <v>28.8415</v>
      </c>
      <c r="J302" s="47">
        <v>49.475200000000001</v>
      </c>
      <c r="K302" s="47">
        <v>123.51300000000001</v>
      </c>
      <c r="L302" s="22">
        <f t="shared" si="3"/>
        <v>0.67533070944841689</v>
      </c>
      <c r="M302" s="22">
        <f t="shared" si="4"/>
        <v>-8.4121219161023149</v>
      </c>
      <c r="N302" s="22">
        <f t="shared" si="5"/>
        <v>53.349032521225638</v>
      </c>
    </row>
    <row r="303" spans="1:14" ht="16">
      <c r="A303" s="6" t="s">
        <v>61</v>
      </c>
      <c r="B303" s="6" t="s">
        <v>62</v>
      </c>
      <c r="C303" s="6">
        <v>75</v>
      </c>
      <c r="D303" s="6" t="s">
        <v>21</v>
      </c>
      <c r="E303" s="6">
        <v>51</v>
      </c>
      <c r="F303" s="6">
        <v>159</v>
      </c>
      <c r="G303" s="6">
        <v>83.338999999999999</v>
      </c>
      <c r="H303" s="6">
        <v>79</v>
      </c>
      <c r="I303" s="6">
        <v>22.9879</v>
      </c>
      <c r="J303" s="8">
        <v>49.161099999999998</v>
      </c>
      <c r="K303" s="8">
        <v>121.755</v>
      </c>
      <c r="L303" s="22">
        <f t="shared" si="3"/>
        <v>0.68876310543998887</v>
      </c>
      <c r="M303" s="22">
        <f t="shared" si="4"/>
        <v>-8.8603519028458351</v>
      </c>
      <c r="N303" s="22">
        <f t="shared" si="5"/>
        <v>48.540476541417398</v>
      </c>
    </row>
    <row r="304" spans="1:14" ht="16">
      <c r="A304" s="6" t="s">
        <v>61</v>
      </c>
      <c r="B304" s="6" t="s">
        <v>62</v>
      </c>
      <c r="C304" s="6">
        <v>75</v>
      </c>
      <c r="D304" s="6" t="s">
        <v>22</v>
      </c>
      <c r="E304" s="6">
        <v>51</v>
      </c>
      <c r="F304" s="6">
        <v>168</v>
      </c>
      <c r="G304" s="6">
        <v>79.700199999999995</v>
      </c>
      <c r="H304" s="6">
        <v>75</v>
      </c>
      <c r="I304" s="6">
        <v>21.920100000000001</v>
      </c>
      <c r="J304" s="8">
        <v>49.161099999999998</v>
      </c>
      <c r="K304" s="8">
        <v>121.755</v>
      </c>
      <c r="L304" s="22">
        <f t="shared" si="3"/>
        <v>0.68876310543998887</v>
      </c>
      <c r="M304" s="22">
        <f t="shared" si="4"/>
        <v>-8.8603519028458351</v>
      </c>
      <c r="N304" s="22">
        <f t="shared" si="5"/>
        <v>46.034205353342365</v>
      </c>
    </row>
    <row r="305" spans="1:14" ht="16">
      <c r="A305" s="6" t="s">
        <v>61</v>
      </c>
      <c r="B305" s="6" t="s">
        <v>62</v>
      </c>
      <c r="C305" s="6">
        <v>75</v>
      </c>
      <c r="D305" s="6" t="s">
        <v>23</v>
      </c>
      <c r="E305" s="6">
        <v>51</v>
      </c>
      <c r="F305" s="6">
        <v>173</v>
      </c>
      <c r="G305" s="6">
        <v>78.461299999999994</v>
      </c>
      <c r="H305" s="6">
        <v>73</v>
      </c>
      <c r="I305" s="6">
        <v>21.047499999999999</v>
      </c>
      <c r="J305" s="8">
        <v>49.161099999999998</v>
      </c>
      <c r="K305" s="8">
        <v>121.755</v>
      </c>
      <c r="L305" s="22">
        <f t="shared" si="3"/>
        <v>0.68876310543998887</v>
      </c>
      <c r="M305" s="22">
        <f t="shared" si="4"/>
        <v>-8.8603519028458351</v>
      </c>
      <c r="N305" s="22">
        <f t="shared" si="5"/>
        <v>45.180896742012756</v>
      </c>
    </row>
    <row r="306" spans="1:14" ht="16">
      <c r="A306" s="6" t="s">
        <v>61</v>
      </c>
      <c r="B306" s="6" t="s">
        <v>62</v>
      </c>
      <c r="C306" s="6">
        <v>75</v>
      </c>
      <c r="D306" s="6" t="s">
        <v>24</v>
      </c>
      <c r="E306" s="6">
        <v>51</v>
      </c>
      <c r="F306" s="6">
        <v>155</v>
      </c>
      <c r="G306" s="6">
        <v>76.787899999999993</v>
      </c>
      <c r="H306" s="6">
        <v>71</v>
      </c>
      <c r="I306" s="6">
        <v>20.195699999999999</v>
      </c>
      <c r="J306" s="8">
        <v>49.161099999999998</v>
      </c>
      <c r="K306" s="8">
        <v>121.755</v>
      </c>
      <c r="L306" s="22">
        <f t="shared" si="3"/>
        <v>0.68876310543998887</v>
      </c>
      <c r="M306" s="22">
        <f t="shared" si="4"/>
        <v>-8.8603519028458351</v>
      </c>
      <c r="N306" s="22">
        <f t="shared" si="5"/>
        <v>44.028320561369483</v>
      </c>
    </row>
    <row r="307" spans="1:14" ht="16">
      <c r="A307" s="6" t="s">
        <v>61</v>
      </c>
      <c r="B307" s="6" t="s">
        <v>62</v>
      </c>
      <c r="C307" s="6">
        <v>75</v>
      </c>
      <c r="D307" s="6" t="s">
        <v>25</v>
      </c>
      <c r="E307" s="6">
        <v>51</v>
      </c>
      <c r="F307" s="6">
        <v>147</v>
      </c>
      <c r="G307" s="6">
        <v>76.819199999999995</v>
      </c>
      <c r="H307" s="6">
        <v>72</v>
      </c>
      <c r="I307" s="6">
        <v>19.8767</v>
      </c>
      <c r="J307" s="8">
        <v>49.161099999999998</v>
      </c>
      <c r="K307" s="8">
        <v>121.755</v>
      </c>
      <c r="L307" s="22">
        <f t="shared" si="3"/>
        <v>0.68876310543998887</v>
      </c>
      <c r="M307" s="22">
        <f t="shared" si="4"/>
        <v>-8.8603519028458351</v>
      </c>
      <c r="N307" s="22">
        <f t="shared" si="5"/>
        <v>44.049878846569754</v>
      </c>
    </row>
    <row r="308" spans="1:14" ht="16">
      <c r="A308" s="13" t="s">
        <v>61</v>
      </c>
      <c r="B308" s="13" t="s">
        <v>62</v>
      </c>
      <c r="C308" s="13">
        <v>75</v>
      </c>
      <c r="D308" s="13" t="s">
        <v>26</v>
      </c>
      <c r="E308" s="13">
        <v>44</v>
      </c>
      <c r="F308" s="13">
        <v>134</v>
      </c>
      <c r="G308" s="13">
        <v>65.856499999999997</v>
      </c>
      <c r="H308" s="13">
        <v>61</v>
      </c>
      <c r="I308" s="13">
        <v>16.953099999999999</v>
      </c>
      <c r="J308" s="8">
        <v>49.161099999999998</v>
      </c>
      <c r="K308" s="8">
        <v>121.755</v>
      </c>
      <c r="L308" s="22">
        <f t="shared" si="3"/>
        <v>0.68876310543998887</v>
      </c>
      <c r="M308" s="22">
        <f t="shared" si="4"/>
        <v>-8.8603519028458351</v>
      </c>
      <c r="N308" s="22">
        <f t="shared" si="5"/>
        <v>36.499175550562789</v>
      </c>
    </row>
    <row r="309" spans="1:14" ht="16">
      <c r="A309" s="13" t="s">
        <v>61</v>
      </c>
      <c r="B309" s="13" t="s">
        <v>62</v>
      </c>
      <c r="C309" s="13">
        <v>75</v>
      </c>
      <c r="D309" s="13" t="s">
        <v>27</v>
      </c>
      <c r="E309" s="13">
        <v>44</v>
      </c>
      <c r="F309" s="13">
        <v>142</v>
      </c>
      <c r="G309" s="13">
        <v>65.996600000000001</v>
      </c>
      <c r="H309" s="13">
        <v>61</v>
      </c>
      <c r="I309" s="13">
        <v>17.245200000000001</v>
      </c>
      <c r="J309" s="8">
        <v>49.161099999999998</v>
      </c>
      <c r="K309" s="8">
        <v>121.755</v>
      </c>
      <c r="L309" s="22">
        <f t="shared" si="3"/>
        <v>0.68876310543998887</v>
      </c>
      <c r="M309" s="22">
        <f t="shared" si="4"/>
        <v>-8.8603519028458351</v>
      </c>
      <c r="N309" s="22">
        <f t="shared" si="5"/>
        <v>36.595671261634934</v>
      </c>
    </row>
    <row r="310" spans="1:14" ht="16">
      <c r="A310" s="13" t="s">
        <v>61</v>
      </c>
      <c r="B310" s="13" t="s">
        <v>62</v>
      </c>
      <c r="C310" s="13">
        <v>75</v>
      </c>
      <c r="D310" s="13" t="s">
        <v>28</v>
      </c>
      <c r="E310" s="13">
        <v>44</v>
      </c>
      <c r="F310" s="13">
        <v>140</v>
      </c>
      <c r="G310" s="13">
        <v>65.801400000000001</v>
      </c>
      <c r="H310" s="13">
        <v>61</v>
      </c>
      <c r="I310" s="13">
        <v>17.3186</v>
      </c>
      <c r="J310" s="8">
        <v>49.161099999999998</v>
      </c>
      <c r="K310" s="8">
        <v>121.755</v>
      </c>
      <c r="L310" s="22">
        <f t="shared" si="3"/>
        <v>0.68876310543998887</v>
      </c>
      <c r="M310" s="22">
        <f t="shared" si="4"/>
        <v>-8.8603519028458351</v>
      </c>
      <c r="N310" s="22">
        <f t="shared" si="5"/>
        <v>36.461224703453048</v>
      </c>
    </row>
    <row r="311" spans="1:14" ht="16">
      <c r="A311" s="13" t="s">
        <v>61</v>
      </c>
      <c r="B311" s="13" t="s">
        <v>62</v>
      </c>
      <c r="C311" s="13">
        <v>75</v>
      </c>
      <c r="D311" s="13" t="s">
        <v>29</v>
      </c>
      <c r="E311" s="13">
        <v>44</v>
      </c>
      <c r="F311" s="13">
        <v>141</v>
      </c>
      <c r="G311" s="13">
        <v>67.119200000000006</v>
      </c>
      <c r="H311" s="13">
        <v>63</v>
      </c>
      <c r="I311" s="13">
        <v>17.5624</v>
      </c>
      <c r="J311" s="8">
        <v>49.161099999999998</v>
      </c>
      <c r="K311" s="8">
        <v>121.755</v>
      </c>
      <c r="L311" s="22">
        <f t="shared" si="3"/>
        <v>0.68876310543998887</v>
      </c>
      <c r="M311" s="22">
        <f t="shared" si="4"/>
        <v>-8.8603519028458351</v>
      </c>
      <c r="N311" s="22">
        <f t="shared" si="5"/>
        <v>37.368876723801868</v>
      </c>
    </row>
    <row r="312" spans="1:14" ht="16">
      <c r="A312" s="13" t="s">
        <v>61</v>
      </c>
      <c r="B312" s="13" t="s">
        <v>62</v>
      </c>
      <c r="C312" s="13">
        <v>75</v>
      </c>
      <c r="D312" s="13" t="s">
        <v>30</v>
      </c>
      <c r="E312" s="13">
        <v>44</v>
      </c>
      <c r="F312" s="13">
        <v>143</v>
      </c>
      <c r="G312" s="13">
        <v>67.548299999999998</v>
      </c>
      <c r="H312" s="13">
        <v>62</v>
      </c>
      <c r="I312" s="13">
        <v>18.6373</v>
      </c>
      <c r="J312" s="8">
        <v>49.161099999999998</v>
      </c>
      <c r="K312" s="8">
        <v>121.755</v>
      </c>
      <c r="L312" s="22">
        <f t="shared" si="3"/>
        <v>0.68876310543998887</v>
      </c>
      <c r="M312" s="22">
        <f t="shared" si="4"/>
        <v>-8.8603519028458351</v>
      </c>
      <c r="N312" s="22">
        <f t="shared" si="5"/>
        <v>37.664424972346161</v>
      </c>
    </row>
    <row r="313" spans="1:14" ht="16">
      <c r="A313" s="16" t="s">
        <v>61</v>
      </c>
      <c r="B313" s="16" t="s">
        <v>62</v>
      </c>
      <c r="C313" s="16">
        <v>75</v>
      </c>
      <c r="D313" s="16" t="s">
        <v>31</v>
      </c>
      <c r="E313" s="16">
        <v>43</v>
      </c>
      <c r="F313" s="16">
        <v>192</v>
      </c>
      <c r="G313" s="16">
        <v>83.845500000000001</v>
      </c>
      <c r="H313" s="16">
        <v>78</v>
      </c>
      <c r="I313" s="16">
        <v>30.752500000000001</v>
      </c>
      <c r="J313" s="8">
        <v>49.161099999999998</v>
      </c>
      <c r="K313" s="8">
        <v>121.755</v>
      </c>
      <c r="L313" s="22">
        <f t="shared" si="3"/>
        <v>0.68876310543998887</v>
      </c>
      <c r="M313" s="22">
        <f t="shared" si="4"/>
        <v>-8.8603519028458351</v>
      </c>
      <c r="N313" s="22">
        <f t="shared" si="5"/>
        <v>48.88933505432275</v>
      </c>
    </row>
    <row r="314" spans="1:14" ht="16">
      <c r="A314" s="16" t="s">
        <v>61</v>
      </c>
      <c r="B314" s="16" t="s">
        <v>62</v>
      </c>
      <c r="C314" s="16">
        <v>75</v>
      </c>
      <c r="D314" s="16" t="s">
        <v>32</v>
      </c>
      <c r="E314" s="16">
        <v>43</v>
      </c>
      <c r="F314" s="16">
        <v>188</v>
      </c>
      <c r="G314" s="16">
        <v>81.951599999999999</v>
      </c>
      <c r="H314" s="16">
        <v>75</v>
      </c>
      <c r="I314" s="16">
        <v>29.988299999999999</v>
      </c>
      <c r="J314" s="8">
        <v>49.161099999999998</v>
      </c>
      <c r="K314" s="8">
        <v>121.755</v>
      </c>
      <c r="L314" s="22">
        <f t="shared" si="3"/>
        <v>0.68876310543998887</v>
      </c>
      <c r="M314" s="22">
        <f t="shared" si="4"/>
        <v>-8.8603519028458351</v>
      </c>
      <c r="N314" s="22">
        <f t="shared" si="5"/>
        <v>47.584886608929956</v>
      </c>
    </row>
    <row r="315" spans="1:14" ht="16">
      <c r="A315" s="16" t="s">
        <v>61</v>
      </c>
      <c r="B315" s="16" t="s">
        <v>62</v>
      </c>
      <c r="C315" s="16">
        <v>75</v>
      </c>
      <c r="D315" s="16" t="s">
        <v>33</v>
      </c>
      <c r="E315" s="16">
        <v>43</v>
      </c>
      <c r="F315" s="16">
        <v>180</v>
      </c>
      <c r="G315" s="16">
        <v>81.010099999999994</v>
      </c>
      <c r="H315" s="16">
        <v>75</v>
      </c>
      <c r="I315" s="16">
        <v>29.0488</v>
      </c>
      <c r="J315" s="8">
        <v>49.161099999999998</v>
      </c>
      <c r="K315" s="8">
        <v>121.755</v>
      </c>
      <c r="L315" s="22">
        <f t="shared" si="3"/>
        <v>0.68876310543998887</v>
      </c>
      <c r="M315" s="22">
        <f t="shared" si="4"/>
        <v>-8.8603519028458351</v>
      </c>
      <c r="N315" s="22">
        <f t="shared" si="5"/>
        <v>46.936416145158205</v>
      </c>
    </row>
    <row r="316" spans="1:14" ht="16">
      <c r="A316" s="16" t="s">
        <v>61</v>
      </c>
      <c r="B316" s="16" t="s">
        <v>62</v>
      </c>
      <c r="C316" s="16">
        <v>75</v>
      </c>
      <c r="D316" s="16" t="s">
        <v>34</v>
      </c>
      <c r="E316" s="16">
        <v>43</v>
      </c>
      <c r="F316" s="16">
        <v>173</v>
      </c>
      <c r="G316" s="16">
        <v>79.333600000000004</v>
      </c>
      <c r="H316" s="16">
        <v>74</v>
      </c>
      <c r="I316" s="16">
        <v>27.3856</v>
      </c>
      <c r="J316" s="8">
        <v>49.161099999999998</v>
      </c>
      <c r="K316" s="8">
        <v>121.755</v>
      </c>
      <c r="L316" s="22">
        <f t="shared" si="3"/>
        <v>0.68876310543998887</v>
      </c>
      <c r="M316" s="22">
        <f t="shared" si="4"/>
        <v>-8.8603519028458351</v>
      </c>
      <c r="N316" s="22">
        <f t="shared" si="5"/>
        <v>45.781704798888072</v>
      </c>
    </row>
    <row r="317" spans="1:14" ht="16">
      <c r="A317" s="16" t="s">
        <v>61</v>
      </c>
      <c r="B317" s="16" t="s">
        <v>62</v>
      </c>
      <c r="C317" s="16">
        <v>75</v>
      </c>
      <c r="D317" s="16" t="s">
        <v>35</v>
      </c>
      <c r="E317" s="16">
        <v>43</v>
      </c>
      <c r="F317" s="16">
        <v>163</v>
      </c>
      <c r="G317" s="16">
        <v>78.761700000000005</v>
      </c>
      <c r="H317" s="16">
        <v>73</v>
      </c>
      <c r="I317" s="16">
        <v>26.584</v>
      </c>
      <c r="J317" s="8">
        <v>49.161099999999998</v>
      </c>
      <c r="K317" s="8">
        <v>121.755</v>
      </c>
      <c r="L317" s="22">
        <f t="shared" si="3"/>
        <v>0.68876310543998887</v>
      </c>
      <c r="M317" s="22">
        <f t="shared" si="4"/>
        <v>-8.8603519028458351</v>
      </c>
      <c r="N317" s="22">
        <f t="shared" si="5"/>
        <v>45.387801178886939</v>
      </c>
    </row>
    <row r="318" spans="1:14" ht="16">
      <c r="A318" s="6" t="s">
        <v>45</v>
      </c>
      <c r="B318" s="6" t="s">
        <v>47</v>
      </c>
      <c r="C318" s="6">
        <v>66</v>
      </c>
      <c r="D318" s="6" t="s">
        <v>21</v>
      </c>
      <c r="E318" s="6">
        <v>56</v>
      </c>
      <c r="F318" s="6">
        <v>169</v>
      </c>
      <c r="G318" s="6">
        <v>83.572900000000004</v>
      </c>
      <c r="H318" s="6">
        <v>78</v>
      </c>
      <c r="I318" s="6">
        <v>21.401</v>
      </c>
      <c r="J318" s="8">
        <v>53.058700000000002</v>
      </c>
      <c r="K318" s="8">
        <v>126.83799999999999</v>
      </c>
      <c r="L318" s="22">
        <f t="shared" si="3"/>
        <v>0.67769686077260161</v>
      </c>
      <c r="M318" s="22">
        <f t="shared" si="4"/>
        <v>-10.957714426675238</v>
      </c>
      <c r="N318" s="22">
        <f t="shared" si="5"/>
        <v>45.679377548987318</v>
      </c>
    </row>
    <row r="319" spans="1:14" ht="16">
      <c r="A319" s="6" t="s">
        <v>45</v>
      </c>
      <c r="B319" s="6" t="s">
        <v>47</v>
      </c>
      <c r="C319" s="6">
        <v>66</v>
      </c>
      <c r="D319" s="6" t="s">
        <v>22</v>
      </c>
      <c r="E319" s="6">
        <v>47</v>
      </c>
      <c r="F319" s="6">
        <v>173</v>
      </c>
      <c r="G319" s="6">
        <v>77.664199999999994</v>
      </c>
      <c r="H319" s="6">
        <v>71</v>
      </c>
      <c r="I319" s="6">
        <v>21.177700000000002</v>
      </c>
      <c r="J319" s="8">
        <v>53.058700000000002</v>
      </c>
      <c r="K319" s="8">
        <v>126.83799999999999</v>
      </c>
      <c r="L319" s="22">
        <f t="shared" si="3"/>
        <v>0.67769686077260161</v>
      </c>
      <c r="M319" s="22">
        <f t="shared" si="4"/>
        <v>-10.957714426675238</v>
      </c>
      <c r="N319" s="22">
        <f t="shared" si="5"/>
        <v>41.67507010774024</v>
      </c>
    </row>
    <row r="320" spans="1:14" ht="16">
      <c r="A320" s="6" t="s">
        <v>45</v>
      </c>
      <c r="B320" s="6" t="s">
        <v>47</v>
      </c>
      <c r="C320" s="6">
        <v>66</v>
      </c>
      <c r="D320" s="6" t="s">
        <v>23</v>
      </c>
      <c r="E320" s="6">
        <v>47</v>
      </c>
      <c r="F320" s="6">
        <v>166</v>
      </c>
      <c r="G320" s="6">
        <v>77.033199999999994</v>
      </c>
      <c r="H320" s="6">
        <v>71</v>
      </c>
      <c r="I320" s="6">
        <v>20.1782</v>
      </c>
      <c r="J320" s="8">
        <v>53.058700000000002</v>
      </c>
      <c r="K320" s="8">
        <v>126.83799999999999</v>
      </c>
      <c r="L320" s="22">
        <f t="shared" si="3"/>
        <v>0.67769686077260161</v>
      </c>
      <c r="M320" s="22">
        <f t="shared" si="4"/>
        <v>-10.957714426675238</v>
      </c>
      <c r="N320" s="22">
        <f t="shared" si="5"/>
        <v>41.247443388592728</v>
      </c>
    </row>
    <row r="321" spans="1:14" ht="16">
      <c r="A321" s="6" t="s">
        <v>45</v>
      </c>
      <c r="B321" s="6" t="s">
        <v>47</v>
      </c>
      <c r="C321" s="6">
        <v>66</v>
      </c>
      <c r="D321" s="6" t="s">
        <v>24</v>
      </c>
      <c r="E321" s="6">
        <v>47</v>
      </c>
      <c r="F321" s="6">
        <v>159</v>
      </c>
      <c r="G321" s="6">
        <v>74.248999999999995</v>
      </c>
      <c r="H321" s="6">
        <v>69</v>
      </c>
      <c r="I321" s="6">
        <v>19.8278</v>
      </c>
      <c r="J321" s="8">
        <v>53.058700000000002</v>
      </c>
      <c r="K321" s="8">
        <v>126.83799999999999</v>
      </c>
      <c r="L321" s="22">
        <f t="shared" si="3"/>
        <v>0.67769686077260161</v>
      </c>
      <c r="M321" s="22">
        <f t="shared" si="4"/>
        <v>-10.957714426675238</v>
      </c>
      <c r="N321" s="22">
        <f t="shared" si="5"/>
        <v>39.360599788829653</v>
      </c>
    </row>
    <row r="322" spans="1:14" ht="16">
      <c r="A322" s="6" t="s">
        <v>45</v>
      </c>
      <c r="B322" s="6" t="s">
        <v>47</v>
      </c>
      <c r="C322" s="6">
        <v>66</v>
      </c>
      <c r="D322" s="6" t="s">
        <v>25</v>
      </c>
      <c r="E322" s="6">
        <v>47</v>
      </c>
      <c r="F322" s="6">
        <v>154</v>
      </c>
      <c r="G322" s="6">
        <v>75.374700000000004</v>
      </c>
      <c r="H322" s="6">
        <v>70</v>
      </c>
      <c r="I322" s="6">
        <v>18.392800000000001</v>
      </c>
      <c r="J322" s="8">
        <v>53.058700000000002</v>
      </c>
      <c r="K322" s="8">
        <v>126.83799999999999</v>
      </c>
      <c r="L322" s="22">
        <f t="shared" si="3"/>
        <v>0.67769686077260161</v>
      </c>
      <c r="M322" s="22">
        <f t="shared" si="4"/>
        <v>-10.957714426675238</v>
      </c>
      <c r="N322" s="22">
        <f t="shared" si="5"/>
        <v>40.12348314500138</v>
      </c>
    </row>
    <row r="323" spans="1:14" ht="16">
      <c r="A323" s="13" t="s">
        <v>45</v>
      </c>
      <c r="B323" s="13" t="s">
        <v>47</v>
      </c>
      <c r="C323" s="13">
        <v>66</v>
      </c>
      <c r="D323" s="13" t="s">
        <v>26</v>
      </c>
      <c r="E323" s="13">
        <v>49</v>
      </c>
      <c r="F323" s="13">
        <v>119</v>
      </c>
      <c r="G323" s="13">
        <v>67.488500000000002</v>
      </c>
      <c r="H323" s="13">
        <v>64</v>
      </c>
      <c r="I323" s="13">
        <v>13.9413</v>
      </c>
      <c r="J323" s="8">
        <v>53.058700000000002</v>
      </c>
      <c r="K323" s="8">
        <v>126.83799999999999</v>
      </c>
      <c r="L323" s="22">
        <f t="shared" si="3"/>
        <v>0.67769686077260161</v>
      </c>
      <c r="M323" s="22">
        <f t="shared" si="4"/>
        <v>-10.957714426675238</v>
      </c>
      <c r="N323" s="22">
        <f t="shared" si="5"/>
        <v>34.779030161576486</v>
      </c>
    </row>
    <row r="324" spans="1:14" ht="16">
      <c r="A324" s="13" t="s">
        <v>45</v>
      </c>
      <c r="B324" s="13" t="s">
        <v>47</v>
      </c>
      <c r="C324" s="13">
        <v>66</v>
      </c>
      <c r="D324" s="13" t="s">
        <v>27</v>
      </c>
      <c r="E324" s="13">
        <v>49</v>
      </c>
      <c r="F324" s="13">
        <v>125</v>
      </c>
      <c r="G324" s="13">
        <v>67.818200000000004</v>
      </c>
      <c r="H324" s="13">
        <v>65</v>
      </c>
      <c r="I324" s="13">
        <v>13.9815</v>
      </c>
      <c r="J324" s="8">
        <v>53.058700000000002</v>
      </c>
      <c r="K324" s="8">
        <v>126.83799999999999</v>
      </c>
      <c r="L324" s="22">
        <f t="shared" si="3"/>
        <v>0.67769686077260161</v>
      </c>
      <c r="M324" s="22">
        <f t="shared" si="4"/>
        <v>-10.957714426675238</v>
      </c>
      <c r="N324" s="22">
        <f t="shared" si="5"/>
        <v>35.002466816573218</v>
      </c>
    </row>
    <row r="325" spans="1:14" ht="16">
      <c r="A325" s="13" t="s">
        <v>45</v>
      </c>
      <c r="B325" s="13" t="s">
        <v>47</v>
      </c>
      <c r="C325" s="13">
        <v>66</v>
      </c>
      <c r="D325" s="13" t="s">
        <v>28</v>
      </c>
      <c r="E325" s="13">
        <v>49</v>
      </c>
      <c r="F325" s="13">
        <v>124</v>
      </c>
      <c r="G325" s="13">
        <v>67.092299999999994</v>
      </c>
      <c r="H325" s="13">
        <v>64</v>
      </c>
      <c r="I325" s="13">
        <v>13.606</v>
      </c>
      <c r="J325" s="8">
        <v>53.058700000000002</v>
      </c>
      <c r="K325" s="8">
        <v>126.83799999999999</v>
      </c>
      <c r="L325" s="22">
        <f t="shared" si="3"/>
        <v>0.67769686077260161</v>
      </c>
      <c r="M325" s="22">
        <f t="shared" si="4"/>
        <v>-10.957714426675238</v>
      </c>
      <c r="N325" s="22">
        <f t="shared" si="5"/>
        <v>34.510526665338375</v>
      </c>
    </row>
    <row r="326" spans="1:14" ht="16">
      <c r="A326" s="13" t="s">
        <v>45</v>
      </c>
      <c r="B326" s="13" t="s">
        <v>47</v>
      </c>
      <c r="C326" s="13">
        <v>66</v>
      </c>
      <c r="D326" s="13" t="s">
        <v>29</v>
      </c>
      <c r="E326" s="13">
        <v>49</v>
      </c>
      <c r="F326" s="13">
        <v>122</v>
      </c>
      <c r="G326" s="13">
        <v>67.823300000000003</v>
      </c>
      <c r="H326" s="13">
        <v>65</v>
      </c>
      <c r="I326" s="13">
        <v>13.918900000000001</v>
      </c>
      <c r="J326" s="8">
        <v>53.058700000000002</v>
      </c>
      <c r="K326" s="8">
        <v>126.83799999999999</v>
      </c>
      <c r="L326" s="22">
        <f t="shared" si="3"/>
        <v>0.67769686077260161</v>
      </c>
      <c r="M326" s="22">
        <f t="shared" si="4"/>
        <v>-10.957714426675238</v>
      </c>
      <c r="N326" s="22">
        <f t="shared" si="5"/>
        <v>35.005923070563156</v>
      </c>
    </row>
    <row r="327" spans="1:14" ht="16">
      <c r="A327" s="13" t="s">
        <v>45</v>
      </c>
      <c r="B327" s="13" t="s">
        <v>47</v>
      </c>
      <c r="C327" s="13">
        <v>66</v>
      </c>
      <c r="D327" s="13" t="s">
        <v>30</v>
      </c>
      <c r="E327" s="13">
        <v>49</v>
      </c>
      <c r="F327" s="13">
        <v>123</v>
      </c>
      <c r="G327" s="13">
        <v>67.6387</v>
      </c>
      <c r="H327" s="13">
        <v>64</v>
      </c>
      <c r="I327" s="13">
        <v>14.198600000000001</v>
      </c>
      <c r="J327" s="8">
        <v>53.058700000000002</v>
      </c>
      <c r="K327" s="8">
        <v>126.83799999999999</v>
      </c>
      <c r="L327" s="22">
        <f t="shared" si="3"/>
        <v>0.67769686077260161</v>
      </c>
      <c r="M327" s="22">
        <f t="shared" si="4"/>
        <v>-10.957714426675238</v>
      </c>
      <c r="N327" s="22">
        <f t="shared" si="5"/>
        <v>34.880820230064529</v>
      </c>
    </row>
    <row r="328" spans="1:14" ht="16">
      <c r="A328" s="16" t="s">
        <v>45</v>
      </c>
      <c r="B328" s="16" t="s">
        <v>47</v>
      </c>
      <c r="C328" s="16">
        <v>66</v>
      </c>
      <c r="D328" s="16" t="s">
        <v>31</v>
      </c>
      <c r="E328" s="16">
        <v>44</v>
      </c>
      <c r="F328" s="16">
        <v>182</v>
      </c>
      <c r="G328" s="16">
        <v>92.962599999999995</v>
      </c>
      <c r="H328" s="16">
        <v>88</v>
      </c>
      <c r="I328" s="16">
        <v>30.1952</v>
      </c>
      <c r="J328" s="8">
        <v>53.058700000000002</v>
      </c>
      <c r="K328" s="8">
        <v>126.83799999999999</v>
      </c>
      <c r="L328" s="22">
        <f t="shared" si="3"/>
        <v>0.67769686077260161</v>
      </c>
      <c r="M328" s="22">
        <f t="shared" si="4"/>
        <v>-10.957714426675238</v>
      </c>
      <c r="N328" s="22">
        <f t="shared" si="5"/>
        <v>52.042747762583815</v>
      </c>
    </row>
    <row r="329" spans="1:14" ht="16">
      <c r="A329" s="16" t="s">
        <v>45</v>
      </c>
      <c r="B329" s="16" t="s">
        <v>47</v>
      </c>
      <c r="C329" s="16">
        <v>66</v>
      </c>
      <c r="D329" s="16" t="s">
        <v>32</v>
      </c>
      <c r="E329" s="16">
        <v>44</v>
      </c>
      <c r="F329" s="16">
        <v>183</v>
      </c>
      <c r="G329" s="16">
        <v>90.091700000000003</v>
      </c>
      <c r="H329" s="16">
        <v>84</v>
      </c>
      <c r="I329" s="16">
        <v>28.165800000000001</v>
      </c>
      <c r="J329" s="8">
        <v>53.058700000000002</v>
      </c>
      <c r="K329" s="8">
        <v>126.83799999999999</v>
      </c>
      <c r="L329" s="22">
        <f t="shared" si="3"/>
        <v>0.67769686077260161</v>
      </c>
      <c r="M329" s="22">
        <f t="shared" si="4"/>
        <v>-10.957714426675238</v>
      </c>
      <c r="N329" s="22">
        <f t="shared" si="5"/>
        <v>50.097147844991753</v>
      </c>
    </row>
    <row r="330" spans="1:14" ht="16">
      <c r="A330" s="16" t="s">
        <v>45</v>
      </c>
      <c r="B330" s="16" t="s">
        <v>47</v>
      </c>
      <c r="C330" s="16">
        <v>66</v>
      </c>
      <c r="D330" s="16" t="s">
        <v>33</v>
      </c>
      <c r="E330" s="16">
        <v>53</v>
      </c>
      <c r="F330" s="16">
        <v>160</v>
      </c>
      <c r="G330" s="16">
        <v>90.077500000000001</v>
      </c>
      <c r="H330" s="16">
        <v>85</v>
      </c>
      <c r="I330" s="16">
        <v>27.089400000000001</v>
      </c>
      <c r="J330" s="8">
        <v>53.058700000000002</v>
      </c>
      <c r="K330" s="8">
        <v>126.83799999999999</v>
      </c>
      <c r="L330" s="22">
        <f t="shared" si="3"/>
        <v>0.67769686077260161</v>
      </c>
      <c r="M330" s="22">
        <f t="shared" si="4"/>
        <v>-10.957714426675238</v>
      </c>
      <c r="N330" s="22">
        <f t="shared" si="5"/>
        <v>50.087524549568784</v>
      </c>
    </row>
    <row r="331" spans="1:14" ht="16">
      <c r="A331" s="16" t="s">
        <v>45</v>
      </c>
      <c r="B331" s="16" t="s">
        <v>47</v>
      </c>
      <c r="C331" s="16">
        <v>66</v>
      </c>
      <c r="D331" s="16" t="s">
        <v>34</v>
      </c>
      <c r="E331" s="16">
        <v>53</v>
      </c>
      <c r="F331" s="16">
        <v>172</v>
      </c>
      <c r="G331" s="16">
        <v>88.080299999999994</v>
      </c>
      <c r="H331" s="16">
        <v>83</v>
      </c>
      <c r="I331" s="16">
        <v>26.023700000000002</v>
      </c>
      <c r="J331" s="8">
        <v>53.058700000000002</v>
      </c>
      <c r="K331" s="8">
        <v>126.83799999999999</v>
      </c>
      <c r="L331" s="22">
        <f t="shared" si="3"/>
        <v>0.67769686077260161</v>
      </c>
      <c r="M331" s="22">
        <f t="shared" si="4"/>
        <v>-10.957714426675238</v>
      </c>
      <c r="N331" s="22">
        <f t="shared" si="5"/>
        <v>48.734028379233742</v>
      </c>
    </row>
    <row r="332" spans="1:14" ht="16">
      <c r="A332" s="16" t="s">
        <v>45</v>
      </c>
      <c r="B332" s="16" t="s">
        <v>47</v>
      </c>
      <c r="C332" s="16">
        <v>66</v>
      </c>
      <c r="D332" s="16" t="s">
        <v>35</v>
      </c>
      <c r="E332" s="16">
        <v>53</v>
      </c>
      <c r="F332" s="16">
        <v>170</v>
      </c>
      <c r="G332" s="16">
        <v>86.122100000000003</v>
      </c>
      <c r="H332" s="16">
        <v>81</v>
      </c>
      <c r="I332" s="16">
        <v>24.628399999999999</v>
      </c>
      <c r="J332" s="8">
        <v>53.058700000000002</v>
      </c>
      <c r="K332" s="8">
        <v>126.83799999999999</v>
      </c>
      <c r="L332" s="22">
        <f t="shared" si="3"/>
        <v>0.67769686077260161</v>
      </c>
      <c r="M332" s="22">
        <f t="shared" si="4"/>
        <v>-10.957714426675238</v>
      </c>
      <c r="N332" s="22">
        <f t="shared" si="5"/>
        <v>47.406962386468834</v>
      </c>
    </row>
    <row r="333" spans="1:14" ht="15.75" customHeight="1">
      <c r="E333" s="51"/>
      <c r="F333" s="51"/>
      <c r="G333" s="51"/>
      <c r="H333" s="51"/>
      <c r="I333" s="51"/>
    </row>
    <row r="334" spans="1:14" ht="15.75" customHeight="1">
      <c r="E334" s="51"/>
      <c r="F334" s="51"/>
      <c r="G334" s="51"/>
      <c r="H334" s="51"/>
      <c r="I334" s="51"/>
    </row>
    <row r="335" spans="1:14" ht="15.75" customHeight="1">
      <c r="E335" s="51"/>
      <c r="F335" s="51"/>
      <c r="G335" s="51"/>
      <c r="H335" s="51"/>
      <c r="I335" s="51"/>
    </row>
    <row r="336" spans="1:14" ht="15.75" customHeight="1">
      <c r="E336" s="51"/>
      <c r="F336" s="51"/>
      <c r="G336" s="51"/>
      <c r="H336" s="51"/>
      <c r="I336" s="51"/>
    </row>
    <row r="337" spans="5:9" ht="15.75" customHeight="1">
      <c r="E337" s="51"/>
      <c r="F337" s="51"/>
      <c r="G337" s="51"/>
      <c r="H337" s="51"/>
      <c r="I337" s="51"/>
    </row>
    <row r="338" spans="5:9" ht="15.75" customHeight="1">
      <c r="E338" s="51"/>
      <c r="F338" s="51"/>
      <c r="G338" s="51"/>
      <c r="H338" s="51"/>
      <c r="I338" s="51"/>
    </row>
    <row r="339" spans="5:9" ht="15.75" customHeight="1">
      <c r="E339" s="51"/>
      <c r="F339" s="51"/>
      <c r="G339" s="51"/>
      <c r="H339" s="51"/>
      <c r="I339" s="51"/>
    </row>
    <row r="340" spans="5:9" ht="15.75" customHeight="1">
      <c r="E340" s="51"/>
      <c r="F340" s="51"/>
      <c r="G340" s="51"/>
      <c r="H340" s="51"/>
      <c r="I340" s="51"/>
    </row>
    <row r="341" spans="5:9" ht="15.75" customHeight="1">
      <c r="E341" s="51"/>
      <c r="F341" s="51"/>
      <c r="G341" s="51"/>
      <c r="H341" s="51"/>
      <c r="I341" s="51"/>
    </row>
    <row r="342" spans="5:9" ht="15.75" customHeight="1">
      <c r="E342" s="51"/>
      <c r="F342" s="51"/>
      <c r="G342" s="51"/>
      <c r="H342" s="51"/>
      <c r="I342" s="51"/>
    </row>
    <row r="343" spans="5:9" ht="15.75" customHeight="1">
      <c r="E343" s="51"/>
      <c r="F343" s="51"/>
      <c r="G343" s="51"/>
      <c r="H343" s="51"/>
      <c r="I343" s="51"/>
    </row>
    <row r="344" spans="5:9" ht="15.75" customHeight="1">
      <c r="E344" s="51"/>
      <c r="F344" s="51"/>
      <c r="G344" s="51"/>
      <c r="H344" s="51"/>
      <c r="I344" s="51"/>
    </row>
    <row r="345" spans="5:9" ht="15.75" customHeight="1">
      <c r="E345" s="51"/>
      <c r="F345" s="51"/>
      <c r="G345" s="51"/>
      <c r="H345" s="51"/>
      <c r="I345" s="51"/>
    </row>
    <row r="346" spans="5:9" ht="15.75" customHeight="1">
      <c r="E346" s="51"/>
      <c r="F346" s="51"/>
      <c r="G346" s="51"/>
      <c r="H346" s="51"/>
      <c r="I346" s="51"/>
    </row>
    <row r="347" spans="5:9" ht="15.75" customHeight="1">
      <c r="E347" s="51"/>
      <c r="F347" s="51"/>
      <c r="G347" s="51"/>
      <c r="H347" s="51"/>
      <c r="I347" s="51"/>
    </row>
    <row r="348" spans="5:9" ht="15.75" customHeight="1">
      <c r="E348" s="51"/>
      <c r="F348" s="51"/>
      <c r="G348" s="51"/>
      <c r="H348" s="51"/>
      <c r="I348" s="51"/>
    </row>
    <row r="349" spans="5:9" ht="15.75" customHeight="1">
      <c r="E349" s="51"/>
      <c r="F349" s="51"/>
      <c r="G349" s="51"/>
      <c r="H349" s="51"/>
      <c r="I349" s="51"/>
    </row>
    <row r="350" spans="5:9" ht="15.75" customHeight="1">
      <c r="E350" s="51"/>
      <c r="F350" s="51"/>
      <c r="G350" s="51"/>
      <c r="H350" s="51"/>
      <c r="I350" s="51"/>
    </row>
    <row r="351" spans="5:9" ht="15.75" customHeight="1">
      <c r="E351" s="51"/>
      <c r="F351" s="51"/>
      <c r="G351" s="51"/>
      <c r="H351" s="51"/>
      <c r="I351" s="51"/>
    </row>
    <row r="352" spans="5:9" ht="15.75" customHeight="1">
      <c r="E352" s="51"/>
      <c r="F352" s="51"/>
      <c r="G352" s="51"/>
      <c r="H352" s="51"/>
      <c r="I352" s="51"/>
    </row>
    <row r="353" spans="5:9" ht="15.75" customHeight="1">
      <c r="E353" s="51"/>
      <c r="F353" s="51"/>
      <c r="G353" s="51"/>
      <c r="H353" s="51"/>
      <c r="I353" s="51"/>
    </row>
    <row r="354" spans="5:9" ht="15.75" customHeight="1">
      <c r="E354" s="51"/>
      <c r="F354" s="51"/>
      <c r="G354" s="51"/>
      <c r="H354" s="51"/>
      <c r="I354" s="51"/>
    </row>
    <row r="355" spans="5:9" ht="15.75" customHeight="1">
      <c r="E355" s="51"/>
      <c r="F355" s="51"/>
      <c r="G355" s="51"/>
      <c r="H355" s="51"/>
      <c r="I355" s="51"/>
    </row>
    <row r="356" spans="5:9" ht="15.75" customHeight="1">
      <c r="E356" s="51"/>
      <c r="F356" s="51"/>
      <c r="G356" s="51"/>
      <c r="H356" s="51"/>
      <c r="I356" s="51"/>
    </row>
    <row r="357" spans="5:9" ht="15.75" customHeight="1">
      <c r="E357" s="51"/>
      <c r="F357" s="51"/>
      <c r="G357" s="51"/>
      <c r="H357" s="51"/>
      <c r="I357" s="51"/>
    </row>
    <row r="358" spans="5:9" ht="15.75" customHeight="1">
      <c r="E358" s="51"/>
      <c r="F358" s="51"/>
      <c r="G358" s="51"/>
      <c r="H358" s="51"/>
      <c r="I358" s="51"/>
    </row>
    <row r="359" spans="5:9" ht="15.75" customHeight="1">
      <c r="E359" s="51"/>
      <c r="F359" s="51"/>
      <c r="G359" s="51"/>
      <c r="H359" s="51"/>
      <c r="I359" s="51"/>
    </row>
    <row r="360" spans="5:9" ht="15.75" customHeight="1">
      <c r="E360" s="51"/>
      <c r="F360" s="51"/>
      <c r="G360" s="51"/>
      <c r="H360" s="51"/>
      <c r="I360" s="51"/>
    </row>
    <row r="361" spans="5:9" ht="15.75" customHeight="1">
      <c r="E361" s="51"/>
      <c r="F361" s="51"/>
      <c r="G361" s="51"/>
      <c r="H361" s="51"/>
      <c r="I361" s="51"/>
    </row>
    <row r="362" spans="5:9" ht="15.75" customHeight="1">
      <c r="E362" s="51"/>
      <c r="F362" s="51"/>
      <c r="G362" s="51"/>
      <c r="H362" s="51"/>
      <c r="I362" s="51"/>
    </row>
    <row r="363" spans="5:9" ht="15.75" customHeight="1">
      <c r="E363" s="51"/>
      <c r="F363" s="51"/>
      <c r="G363" s="51"/>
      <c r="H363" s="51"/>
      <c r="I363" s="51"/>
    </row>
    <row r="364" spans="5:9" ht="15.75" customHeight="1">
      <c r="E364" s="51"/>
      <c r="F364" s="51"/>
      <c r="G364" s="51"/>
      <c r="H364" s="51"/>
      <c r="I364" s="51"/>
    </row>
    <row r="365" spans="5:9" ht="15.75" customHeight="1">
      <c r="E365" s="51"/>
      <c r="F365" s="51"/>
      <c r="G365" s="51"/>
      <c r="H365" s="51"/>
      <c r="I365" s="51"/>
    </row>
    <row r="366" spans="5:9" ht="15.75" customHeight="1">
      <c r="E366" s="51"/>
      <c r="F366" s="51"/>
      <c r="G366" s="51"/>
      <c r="H366" s="51"/>
      <c r="I366" s="51"/>
    </row>
    <row r="367" spans="5:9" ht="15.75" customHeight="1">
      <c r="E367" s="51"/>
      <c r="F367" s="51"/>
      <c r="G367" s="51"/>
      <c r="H367" s="51"/>
      <c r="I367" s="51"/>
    </row>
    <row r="368" spans="5:9" ht="15.75" customHeight="1">
      <c r="E368" s="51"/>
      <c r="F368" s="51"/>
      <c r="G368" s="51"/>
      <c r="H368" s="51"/>
      <c r="I368" s="51"/>
    </row>
    <row r="369" spans="5:9" ht="15.75" customHeight="1">
      <c r="E369" s="51"/>
      <c r="F369" s="51"/>
      <c r="G369" s="51"/>
      <c r="H369" s="51"/>
      <c r="I369" s="51"/>
    </row>
    <row r="370" spans="5:9" ht="15.75" customHeight="1">
      <c r="E370" s="51"/>
      <c r="F370" s="51"/>
      <c r="G370" s="51"/>
      <c r="H370" s="51"/>
      <c r="I370" s="51"/>
    </row>
    <row r="371" spans="5:9" ht="15.75" customHeight="1">
      <c r="E371" s="51"/>
      <c r="F371" s="51"/>
      <c r="G371" s="51"/>
      <c r="H371" s="51"/>
      <c r="I371" s="51"/>
    </row>
    <row r="372" spans="5:9" ht="15.75" customHeight="1">
      <c r="E372" s="51"/>
      <c r="F372" s="51"/>
      <c r="G372" s="51"/>
      <c r="H372" s="51"/>
      <c r="I372" s="51"/>
    </row>
    <row r="373" spans="5:9" ht="15.75" customHeight="1">
      <c r="E373" s="51"/>
      <c r="F373" s="51"/>
      <c r="G373" s="51"/>
      <c r="H373" s="51"/>
      <c r="I373" s="51"/>
    </row>
    <row r="374" spans="5:9" ht="15.75" customHeight="1">
      <c r="E374" s="51"/>
      <c r="F374" s="51"/>
      <c r="G374" s="51"/>
      <c r="H374" s="51"/>
      <c r="I374" s="51"/>
    </row>
    <row r="375" spans="5:9" ht="15.75" customHeight="1">
      <c r="E375" s="51"/>
      <c r="F375" s="51"/>
      <c r="G375" s="51"/>
      <c r="H375" s="51"/>
      <c r="I375" s="51"/>
    </row>
    <row r="376" spans="5:9" ht="15.75" customHeight="1">
      <c r="E376" s="51"/>
      <c r="F376" s="51"/>
      <c r="G376" s="51"/>
      <c r="H376" s="51"/>
      <c r="I376" s="51"/>
    </row>
    <row r="377" spans="5:9" ht="15.75" customHeight="1">
      <c r="E377" s="51"/>
      <c r="F377" s="51"/>
      <c r="G377" s="51"/>
      <c r="H377" s="51"/>
      <c r="I377" s="51"/>
    </row>
    <row r="378" spans="5:9" ht="15.75" customHeight="1">
      <c r="E378" s="51"/>
      <c r="F378" s="51"/>
      <c r="G378" s="51"/>
      <c r="H378" s="51"/>
      <c r="I378" s="51"/>
    </row>
    <row r="379" spans="5:9" ht="15.75" customHeight="1">
      <c r="E379" s="51"/>
      <c r="F379" s="51"/>
      <c r="G379" s="51"/>
      <c r="H379" s="51"/>
      <c r="I379" s="51"/>
    </row>
    <row r="380" spans="5:9" ht="15.75" customHeight="1">
      <c r="E380" s="51"/>
      <c r="F380" s="51"/>
      <c r="G380" s="51"/>
      <c r="H380" s="51"/>
      <c r="I380" s="51"/>
    </row>
    <row r="381" spans="5:9" ht="15.75" customHeight="1">
      <c r="E381" s="51"/>
      <c r="F381" s="51"/>
      <c r="G381" s="51"/>
      <c r="H381" s="51"/>
      <c r="I381" s="51"/>
    </row>
    <row r="382" spans="5:9" ht="15.75" customHeight="1">
      <c r="E382" s="51"/>
      <c r="F382" s="51"/>
      <c r="G382" s="51"/>
      <c r="H382" s="51"/>
      <c r="I382" s="51"/>
    </row>
    <row r="383" spans="5:9" ht="15.75" customHeight="1">
      <c r="E383" s="51"/>
      <c r="F383" s="51"/>
      <c r="G383" s="51"/>
      <c r="H383" s="51"/>
      <c r="I383" s="51"/>
    </row>
    <row r="384" spans="5:9" ht="15.75" customHeight="1">
      <c r="E384" s="51"/>
      <c r="F384" s="51"/>
      <c r="G384" s="51"/>
      <c r="H384" s="51"/>
      <c r="I384" s="51"/>
    </row>
    <row r="385" spans="5:9" ht="15.75" customHeight="1">
      <c r="E385" s="51"/>
      <c r="F385" s="51"/>
      <c r="G385" s="51"/>
      <c r="H385" s="51"/>
      <c r="I385" s="51"/>
    </row>
    <row r="386" spans="5:9" ht="15.75" customHeight="1">
      <c r="E386" s="51"/>
      <c r="F386" s="51"/>
      <c r="G386" s="51"/>
      <c r="H386" s="51"/>
      <c r="I386" s="51"/>
    </row>
    <row r="387" spans="5:9" ht="15.75" customHeight="1">
      <c r="E387" s="51"/>
      <c r="F387" s="51"/>
      <c r="G387" s="51"/>
      <c r="H387" s="51"/>
      <c r="I387" s="51"/>
    </row>
    <row r="388" spans="5:9" ht="15.75" customHeight="1">
      <c r="E388" s="51"/>
      <c r="F388" s="51"/>
      <c r="G388" s="51"/>
      <c r="H388" s="51"/>
      <c r="I388" s="51"/>
    </row>
    <row r="389" spans="5:9" ht="15.75" customHeight="1">
      <c r="E389" s="51"/>
      <c r="F389" s="51"/>
      <c r="G389" s="51"/>
      <c r="H389" s="51"/>
      <c r="I389" s="51"/>
    </row>
    <row r="390" spans="5:9" ht="15.75" customHeight="1">
      <c r="E390" s="51"/>
      <c r="F390" s="51"/>
      <c r="G390" s="51"/>
      <c r="H390" s="51"/>
      <c r="I390" s="51"/>
    </row>
    <row r="391" spans="5:9" ht="15.75" customHeight="1">
      <c r="E391" s="51"/>
      <c r="F391" s="51"/>
      <c r="G391" s="51"/>
      <c r="H391" s="51"/>
      <c r="I391" s="51"/>
    </row>
    <row r="392" spans="5:9" ht="15.75" customHeight="1">
      <c r="E392" s="51"/>
      <c r="F392" s="51"/>
      <c r="G392" s="51"/>
      <c r="H392" s="51"/>
      <c r="I392" s="51"/>
    </row>
    <row r="393" spans="5:9" ht="15.75" customHeight="1">
      <c r="E393" s="51"/>
      <c r="F393" s="51"/>
      <c r="G393" s="51"/>
      <c r="H393" s="51"/>
      <c r="I393" s="51"/>
    </row>
    <row r="394" spans="5:9" ht="15.75" customHeight="1">
      <c r="E394" s="51"/>
      <c r="F394" s="51"/>
      <c r="G394" s="51"/>
      <c r="H394" s="51"/>
      <c r="I394" s="51"/>
    </row>
    <row r="395" spans="5:9" ht="15.75" customHeight="1">
      <c r="E395" s="51"/>
      <c r="F395" s="51"/>
      <c r="G395" s="51"/>
      <c r="H395" s="51"/>
      <c r="I395" s="51"/>
    </row>
    <row r="396" spans="5:9" ht="15.75" customHeight="1">
      <c r="E396" s="51"/>
      <c r="F396" s="51"/>
      <c r="G396" s="51"/>
      <c r="H396" s="51"/>
      <c r="I396" s="51"/>
    </row>
    <row r="397" spans="5:9" ht="15.75" customHeight="1">
      <c r="E397" s="51"/>
      <c r="F397" s="51"/>
      <c r="G397" s="51"/>
      <c r="H397" s="51"/>
      <c r="I397" s="51"/>
    </row>
    <row r="398" spans="5:9" ht="15.75" customHeight="1">
      <c r="E398" s="51"/>
      <c r="F398" s="51"/>
      <c r="G398" s="51"/>
      <c r="H398" s="51"/>
      <c r="I398" s="51"/>
    </row>
    <row r="399" spans="5:9" ht="15.75" customHeight="1">
      <c r="E399" s="51"/>
      <c r="F399" s="51"/>
      <c r="G399" s="51"/>
      <c r="H399" s="51"/>
      <c r="I399" s="51"/>
    </row>
    <row r="400" spans="5:9" ht="15.75" customHeight="1">
      <c r="E400" s="51"/>
      <c r="F400" s="51"/>
      <c r="G400" s="51"/>
      <c r="H400" s="51"/>
      <c r="I400" s="51"/>
    </row>
    <row r="401" spans="5:9" ht="15.75" customHeight="1">
      <c r="E401" s="51"/>
      <c r="F401" s="51"/>
      <c r="G401" s="51"/>
      <c r="H401" s="51"/>
      <c r="I401" s="51"/>
    </row>
    <row r="402" spans="5:9" ht="15.75" customHeight="1">
      <c r="E402" s="51"/>
      <c r="F402" s="51"/>
      <c r="G402" s="51"/>
      <c r="H402" s="51"/>
      <c r="I402" s="51"/>
    </row>
    <row r="403" spans="5:9" ht="15.75" customHeight="1">
      <c r="E403" s="51"/>
      <c r="F403" s="51"/>
      <c r="G403" s="51"/>
      <c r="H403" s="51"/>
      <c r="I403" s="51"/>
    </row>
    <row r="404" spans="5:9" ht="15.75" customHeight="1">
      <c r="E404" s="51"/>
      <c r="F404" s="51"/>
      <c r="G404" s="51"/>
      <c r="H404" s="51"/>
      <c r="I404" s="51"/>
    </row>
    <row r="405" spans="5:9" ht="15.75" customHeight="1">
      <c r="E405" s="51"/>
      <c r="F405" s="51"/>
      <c r="G405" s="51"/>
      <c r="H405" s="51"/>
      <c r="I405" s="51"/>
    </row>
    <row r="406" spans="5:9" ht="15.75" customHeight="1">
      <c r="E406" s="51"/>
      <c r="F406" s="51"/>
      <c r="G406" s="51"/>
      <c r="H406" s="51"/>
      <c r="I406" s="51"/>
    </row>
    <row r="407" spans="5:9" ht="15.75" customHeight="1">
      <c r="E407" s="51"/>
      <c r="F407" s="51"/>
      <c r="G407" s="51"/>
      <c r="H407" s="51"/>
      <c r="I407" s="51"/>
    </row>
    <row r="408" spans="5:9" ht="15.75" customHeight="1">
      <c r="E408" s="51"/>
      <c r="F408" s="51"/>
      <c r="G408" s="51"/>
      <c r="H408" s="51"/>
      <c r="I408" s="51"/>
    </row>
    <row r="409" spans="5:9" ht="15.75" customHeight="1">
      <c r="E409" s="51"/>
      <c r="F409" s="51"/>
      <c r="G409" s="51"/>
      <c r="H409" s="51"/>
      <c r="I409" s="51"/>
    </row>
    <row r="410" spans="5:9" ht="15.75" customHeight="1">
      <c r="E410" s="51"/>
      <c r="F410" s="51"/>
      <c r="G410" s="51"/>
      <c r="H410" s="51"/>
      <c r="I410" s="51"/>
    </row>
    <row r="411" spans="5:9" ht="15.75" customHeight="1">
      <c r="E411" s="51"/>
      <c r="F411" s="51"/>
      <c r="G411" s="51"/>
      <c r="H411" s="51"/>
      <c r="I411" s="51"/>
    </row>
    <row r="412" spans="5:9" ht="15.75" customHeight="1">
      <c r="E412" s="51"/>
      <c r="F412" s="51"/>
      <c r="G412" s="51"/>
      <c r="H412" s="51"/>
      <c r="I412" s="51"/>
    </row>
    <row r="413" spans="5:9" ht="15.75" customHeight="1">
      <c r="E413" s="51"/>
      <c r="F413" s="51"/>
      <c r="G413" s="51"/>
      <c r="H413" s="51"/>
      <c r="I413" s="51"/>
    </row>
    <row r="414" spans="5:9" ht="15.75" customHeight="1">
      <c r="E414" s="51"/>
      <c r="F414" s="51"/>
      <c r="G414" s="51"/>
      <c r="H414" s="51"/>
      <c r="I414" s="51"/>
    </row>
    <row r="415" spans="5:9" ht="15.75" customHeight="1">
      <c r="E415" s="51"/>
      <c r="F415" s="51"/>
      <c r="G415" s="51"/>
      <c r="H415" s="51"/>
      <c r="I415" s="51"/>
    </row>
    <row r="416" spans="5:9" ht="15.75" customHeight="1">
      <c r="E416" s="51"/>
      <c r="F416" s="51"/>
      <c r="G416" s="51"/>
      <c r="H416" s="51"/>
      <c r="I416" s="51"/>
    </row>
    <row r="417" spans="5:9" ht="15.75" customHeight="1">
      <c r="E417" s="51"/>
      <c r="F417" s="51"/>
      <c r="G417" s="51"/>
      <c r="H417" s="51"/>
      <c r="I417" s="51"/>
    </row>
    <row r="418" spans="5:9" ht="15.75" customHeight="1">
      <c r="E418" s="51"/>
      <c r="F418" s="51"/>
      <c r="G418" s="51"/>
      <c r="H418" s="51"/>
      <c r="I418" s="51"/>
    </row>
    <row r="419" spans="5:9" ht="15.75" customHeight="1">
      <c r="E419" s="51"/>
      <c r="F419" s="51"/>
      <c r="G419" s="51"/>
      <c r="H419" s="51"/>
      <c r="I419" s="51"/>
    </row>
    <row r="420" spans="5:9" ht="15.75" customHeight="1">
      <c r="E420" s="51"/>
      <c r="F420" s="51"/>
      <c r="G420" s="51"/>
      <c r="H420" s="51"/>
      <c r="I420" s="51"/>
    </row>
    <row r="421" spans="5:9" ht="15.75" customHeight="1">
      <c r="E421" s="51"/>
      <c r="F421" s="51"/>
      <c r="G421" s="51"/>
      <c r="H421" s="51"/>
      <c r="I421" s="51"/>
    </row>
    <row r="422" spans="5:9" ht="15.75" customHeight="1">
      <c r="E422" s="51"/>
      <c r="F422" s="51"/>
      <c r="G422" s="51"/>
      <c r="H422" s="51"/>
      <c r="I422" s="51"/>
    </row>
    <row r="423" spans="5:9" ht="15.75" customHeight="1">
      <c r="E423" s="51"/>
      <c r="F423" s="51"/>
      <c r="G423" s="51"/>
      <c r="H423" s="51"/>
      <c r="I423" s="51"/>
    </row>
    <row r="424" spans="5:9" ht="15.75" customHeight="1">
      <c r="E424" s="51"/>
      <c r="F424" s="51"/>
      <c r="G424" s="51"/>
      <c r="H424" s="51"/>
      <c r="I424" s="51"/>
    </row>
    <row r="425" spans="5:9" ht="15.75" customHeight="1">
      <c r="E425" s="51"/>
      <c r="F425" s="51"/>
      <c r="G425" s="51"/>
      <c r="H425" s="51"/>
      <c r="I425" s="51"/>
    </row>
    <row r="426" spans="5:9" ht="15.75" customHeight="1">
      <c r="E426" s="51"/>
      <c r="F426" s="51"/>
      <c r="G426" s="51"/>
      <c r="H426" s="51"/>
      <c r="I426" s="51"/>
    </row>
    <row r="427" spans="5:9" ht="15.75" customHeight="1">
      <c r="E427" s="51"/>
      <c r="F427" s="51"/>
      <c r="G427" s="51"/>
      <c r="H427" s="51"/>
      <c r="I427" s="51"/>
    </row>
    <row r="428" spans="5:9" ht="15.75" customHeight="1">
      <c r="E428" s="51"/>
      <c r="F428" s="51"/>
      <c r="G428" s="51"/>
      <c r="H428" s="51"/>
      <c r="I428" s="51"/>
    </row>
    <row r="429" spans="5:9" ht="15.75" customHeight="1">
      <c r="E429" s="51"/>
      <c r="F429" s="51"/>
      <c r="G429" s="51"/>
      <c r="H429" s="51"/>
      <c r="I429" s="51"/>
    </row>
    <row r="430" spans="5:9" ht="15.75" customHeight="1">
      <c r="E430" s="51"/>
      <c r="F430" s="51"/>
      <c r="G430" s="51"/>
      <c r="H430" s="51"/>
      <c r="I430" s="51"/>
    </row>
    <row r="431" spans="5:9" ht="15.75" customHeight="1">
      <c r="E431" s="51"/>
      <c r="F431" s="51"/>
      <c r="G431" s="51"/>
      <c r="H431" s="51"/>
      <c r="I431" s="51"/>
    </row>
    <row r="432" spans="5:9" ht="15.75" customHeight="1">
      <c r="E432" s="51"/>
      <c r="F432" s="51"/>
      <c r="G432" s="51"/>
      <c r="H432" s="51"/>
      <c r="I432" s="51"/>
    </row>
    <row r="433" spans="5:9" ht="15.75" customHeight="1">
      <c r="E433" s="51"/>
      <c r="F433" s="51"/>
      <c r="G433" s="51"/>
      <c r="H433" s="51"/>
      <c r="I433" s="51"/>
    </row>
    <row r="434" spans="5:9" ht="15.75" customHeight="1">
      <c r="E434" s="51"/>
      <c r="F434" s="51"/>
      <c r="G434" s="51"/>
      <c r="H434" s="51"/>
      <c r="I434" s="51"/>
    </row>
    <row r="435" spans="5:9" ht="15.75" customHeight="1">
      <c r="E435" s="51"/>
      <c r="F435" s="51"/>
      <c r="G435" s="51"/>
      <c r="H435" s="51"/>
      <c r="I435" s="51"/>
    </row>
    <row r="436" spans="5:9" ht="15.75" customHeight="1">
      <c r="E436" s="51"/>
      <c r="F436" s="51"/>
      <c r="G436" s="51"/>
      <c r="H436" s="51"/>
      <c r="I436" s="51"/>
    </row>
    <row r="437" spans="5:9" ht="15.75" customHeight="1">
      <c r="E437" s="51"/>
      <c r="F437" s="51"/>
      <c r="G437" s="51"/>
      <c r="H437" s="51"/>
      <c r="I437" s="51"/>
    </row>
    <row r="438" spans="5:9" ht="15.75" customHeight="1">
      <c r="E438" s="51"/>
      <c r="F438" s="51"/>
      <c r="G438" s="51"/>
      <c r="H438" s="51"/>
      <c r="I438" s="51"/>
    </row>
    <row r="439" spans="5:9" ht="15.75" customHeight="1">
      <c r="E439" s="51"/>
      <c r="F439" s="51"/>
      <c r="G439" s="51"/>
      <c r="H439" s="51"/>
      <c r="I439" s="51"/>
    </row>
    <row r="440" spans="5:9" ht="15.75" customHeight="1">
      <c r="E440" s="51"/>
      <c r="F440" s="51"/>
      <c r="G440" s="51"/>
      <c r="H440" s="51"/>
      <c r="I440" s="51"/>
    </row>
    <row r="441" spans="5:9" ht="15.75" customHeight="1">
      <c r="E441" s="51"/>
      <c r="F441" s="51"/>
      <c r="G441" s="51"/>
      <c r="H441" s="51"/>
      <c r="I441" s="51"/>
    </row>
    <row r="442" spans="5:9" ht="15.75" customHeight="1">
      <c r="E442" s="51"/>
      <c r="F442" s="51"/>
      <c r="G442" s="51"/>
      <c r="H442" s="51"/>
      <c r="I442" s="51"/>
    </row>
    <row r="443" spans="5:9" ht="15.75" customHeight="1">
      <c r="E443" s="51"/>
      <c r="F443" s="51"/>
      <c r="G443" s="51"/>
      <c r="H443" s="51"/>
      <c r="I443" s="51"/>
    </row>
    <row r="444" spans="5:9" ht="15.75" customHeight="1">
      <c r="E444" s="51"/>
      <c r="F444" s="51"/>
      <c r="G444" s="51"/>
      <c r="H444" s="51"/>
      <c r="I444" s="51"/>
    </row>
    <row r="445" spans="5:9" ht="15.75" customHeight="1">
      <c r="E445" s="51"/>
      <c r="F445" s="51"/>
      <c r="G445" s="51"/>
      <c r="H445" s="51"/>
      <c r="I445" s="51"/>
    </row>
    <row r="446" spans="5:9" ht="15.75" customHeight="1">
      <c r="E446" s="51"/>
      <c r="F446" s="51"/>
      <c r="G446" s="51"/>
      <c r="H446" s="51"/>
      <c r="I446" s="51"/>
    </row>
    <row r="447" spans="5:9" ht="15.75" customHeight="1">
      <c r="E447" s="51"/>
      <c r="F447" s="51"/>
      <c r="G447" s="51"/>
      <c r="H447" s="51"/>
      <c r="I447" s="51"/>
    </row>
    <row r="448" spans="5:9" ht="15.75" customHeight="1">
      <c r="E448" s="51"/>
      <c r="F448" s="51"/>
      <c r="G448" s="51"/>
      <c r="H448" s="51"/>
      <c r="I448" s="51"/>
    </row>
    <row r="449" spans="5:9" ht="15.75" customHeight="1">
      <c r="E449" s="51"/>
      <c r="F449" s="51"/>
      <c r="G449" s="51"/>
      <c r="H449" s="51"/>
      <c r="I449" s="51"/>
    </row>
    <row r="450" spans="5:9" ht="15.75" customHeight="1">
      <c r="E450" s="51"/>
      <c r="F450" s="51"/>
      <c r="G450" s="51"/>
      <c r="H450" s="51"/>
      <c r="I450" s="51"/>
    </row>
    <row r="451" spans="5:9" ht="15.75" customHeight="1">
      <c r="E451" s="51"/>
      <c r="F451" s="51"/>
      <c r="G451" s="51"/>
      <c r="H451" s="51"/>
      <c r="I451" s="51"/>
    </row>
    <row r="452" spans="5:9" ht="15.75" customHeight="1">
      <c r="E452" s="51"/>
      <c r="F452" s="51"/>
      <c r="G452" s="51"/>
      <c r="H452" s="51"/>
      <c r="I452" s="51"/>
    </row>
    <row r="453" spans="5:9" ht="15.75" customHeight="1">
      <c r="E453" s="51"/>
      <c r="F453" s="51"/>
      <c r="G453" s="51"/>
      <c r="H453" s="51"/>
      <c r="I453" s="51"/>
    </row>
    <row r="454" spans="5:9" ht="15.75" customHeight="1">
      <c r="E454" s="51"/>
      <c r="F454" s="51"/>
      <c r="G454" s="51"/>
      <c r="H454" s="51"/>
      <c r="I454" s="51"/>
    </row>
    <row r="455" spans="5:9" ht="15.75" customHeight="1">
      <c r="E455" s="51"/>
      <c r="F455" s="51"/>
      <c r="G455" s="51"/>
      <c r="H455" s="51"/>
      <c r="I455" s="51"/>
    </row>
    <row r="456" spans="5:9" ht="15.75" customHeight="1">
      <c r="E456" s="51"/>
      <c r="F456" s="51"/>
      <c r="G456" s="51"/>
      <c r="H456" s="51"/>
      <c r="I456" s="51"/>
    </row>
    <row r="457" spans="5:9" ht="15.75" customHeight="1">
      <c r="E457" s="51"/>
      <c r="F457" s="51"/>
      <c r="G457" s="51"/>
      <c r="H457" s="51"/>
      <c r="I457" s="51"/>
    </row>
    <row r="458" spans="5:9" ht="15.75" customHeight="1">
      <c r="E458" s="51"/>
      <c r="F458" s="51"/>
      <c r="G458" s="51"/>
      <c r="H458" s="51"/>
      <c r="I458" s="51"/>
    </row>
    <row r="459" spans="5:9" ht="15.75" customHeight="1">
      <c r="E459" s="51"/>
      <c r="F459" s="51"/>
      <c r="G459" s="51"/>
      <c r="H459" s="51"/>
      <c r="I459" s="51"/>
    </row>
    <row r="460" spans="5:9" ht="15.75" customHeight="1">
      <c r="E460" s="51"/>
      <c r="F460" s="51"/>
      <c r="G460" s="51"/>
      <c r="H460" s="51"/>
      <c r="I460" s="51"/>
    </row>
    <row r="461" spans="5:9" ht="15.75" customHeight="1">
      <c r="E461" s="51"/>
      <c r="F461" s="51"/>
      <c r="G461" s="51"/>
      <c r="H461" s="51"/>
      <c r="I461" s="51"/>
    </row>
    <row r="462" spans="5:9" ht="15.75" customHeight="1">
      <c r="E462" s="51"/>
      <c r="F462" s="51"/>
      <c r="G462" s="51"/>
      <c r="H462" s="51"/>
      <c r="I462" s="51"/>
    </row>
    <row r="463" spans="5:9" ht="15.75" customHeight="1">
      <c r="E463" s="51"/>
      <c r="F463" s="51"/>
      <c r="G463" s="51"/>
      <c r="H463" s="51"/>
      <c r="I463" s="51"/>
    </row>
    <row r="464" spans="5:9" ht="15.75" customHeight="1">
      <c r="E464" s="51"/>
      <c r="F464" s="51"/>
      <c r="G464" s="51"/>
      <c r="H464" s="51"/>
      <c r="I464" s="51"/>
    </row>
    <row r="465" spans="5:9" ht="15.75" customHeight="1">
      <c r="E465" s="51"/>
      <c r="F465" s="51"/>
      <c r="G465" s="51"/>
      <c r="H465" s="51"/>
      <c r="I465" s="51"/>
    </row>
    <row r="466" spans="5:9" ht="15.75" customHeight="1">
      <c r="E466" s="51"/>
      <c r="F466" s="51"/>
      <c r="G466" s="51"/>
      <c r="H466" s="51"/>
      <c r="I466" s="51"/>
    </row>
    <row r="467" spans="5:9" ht="15.75" customHeight="1">
      <c r="E467" s="51"/>
      <c r="F467" s="51"/>
      <c r="G467" s="51"/>
      <c r="H467" s="51"/>
      <c r="I467" s="51"/>
    </row>
    <row r="468" spans="5:9" ht="15.75" customHeight="1">
      <c r="E468" s="51"/>
      <c r="F468" s="51"/>
      <c r="G468" s="51"/>
      <c r="H468" s="51"/>
      <c r="I468" s="51"/>
    </row>
    <row r="469" spans="5:9" ht="15.75" customHeight="1">
      <c r="E469" s="51"/>
      <c r="F469" s="51"/>
      <c r="G469" s="51"/>
      <c r="H469" s="51"/>
      <c r="I469" s="51"/>
    </row>
    <row r="470" spans="5:9" ht="15.75" customHeight="1">
      <c r="E470" s="51"/>
      <c r="F470" s="51"/>
      <c r="G470" s="51"/>
      <c r="H470" s="51"/>
      <c r="I470" s="51"/>
    </row>
    <row r="471" spans="5:9" ht="15.75" customHeight="1">
      <c r="E471" s="51"/>
      <c r="F471" s="51"/>
      <c r="G471" s="51"/>
      <c r="H471" s="51"/>
      <c r="I471" s="51"/>
    </row>
    <row r="472" spans="5:9" ht="15.75" customHeight="1">
      <c r="E472" s="51"/>
      <c r="F472" s="51"/>
      <c r="G472" s="51"/>
      <c r="H472" s="51"/>
      <c r="I472" s="51"/>
    </row>
    <row r="473" spans="5:9" ht="15.75" customHeight="1">
      <c r="E473" s="51"/>
      <c r="F473" s="51"/>
      <c r="G473" s="51"/>
      <c r="H473" s="51"/>
      <c r="I473" s="51"/>
    </row>
    <row r="474" spans="5:9" ht="15.75" customHeight="1">
      <c r="E474" s="51"/>
      <c r="F474" s="51"/>
      <c r="G474" s="51"/>
      <c r="H474" s="51"/>
      <c r="I474" s="51"/>
    </row>
    <row r="475" spans="5:9" ht="15.75" customHeight="1">
      <c r="E475" s="51"/>
      <c r="F475" s="51"/>
      <c r="G475" s="51"/>
      <c r="H475" s="51"/>
      <c r="I475" s="51"/>
    </row>
    <row r="476" spans="5:9" ht="15.75" customHeight="1">
      <c r="E476" s="51"/>
      <c r="F476" s="51"/>
      <c r="G476" s="51"/>
      <c r="H476" s="51"/>
      <c r="I476" s="51"/>
    </row>
    <row r="477" spans="5:9" ht="15.75" customHeight="1">
      <c r="E477" s="51"/>
      <c r="F477" s="51"/>
      <c r="G477" s="51"/>
      <c r="H477" s="51"/>
      <c r="I477" s="51"/>
    </row>
    <row r="478" spans="5:9" ht="15.75" customHeight="1">
      <c r="E478" s="51"/>
      <c r="F478" s="51"/>
      <c r="G478" s="51"/>
      <c r="H478" s="51"/>
      <c r="I478" s="51"/>
    </row>
    <row r="479" spans="5:9" ht="15.75" customHeight="1">
      <c r="E479" s="51"/>
      <c r="F479" s="51"/>
      <c r="G479" s="51"/>
      <c r="H479" s="51"/>
      <c r="I479" s="51"/>
    </row>
    <row r="480" spans="5:9" ht="15.75" customHeight="1">
      <c r="E480" s="51"/>
      <c r="F480" s="51"/>
      <c r="G480" s="51"/>
      <c r="H480" s="51"/>
      <c r="I480" s="51"/>
    </row>
    <row r="481" spans="5:9" ht="15.75" customHeight="1">
      <c r="E481" s="51"/>
      <c r="F481" s="51"/>
      <c r="G481" s="51"/>
      <c r="H481" s="51"/>
      <c r="I481" s="51"/>
    </row>
    <row r="482" spans="5:9" ht="15.75" customHeight="1">
      <c r="E482" s="51"/>
      <c r="F482" s="51"/>
      <c r="G482" s="51"/>
      <c r="H482" s="51"/>
      <c r="I482" s="51"/>
    </row>
    <row r="483" spans="5:9" ht="15.75" customHeight="1">
      <c r="E483" s="51"/>
      <c r="F483" s="51"/>
      <c r="G483" s="51"/>
      <c r="H483" s="51"/>
      <c r="I483" s="51"/>
    </row>
    <row r="484" spans="5:9" ht="15.75" customHeight="1">
      <c r="E484" s="51"/>
      <c r="F484" s="51"/>
      <c r="G484" s="51"/>
      <c r="H484" s="51"/>
      <c r="I484" s="51"/>
    </row>
    <row r="485" spans="5:9" ht="15.75" customHeight="1">
      <c r="E485" s="51"/>
      <c r="F485" s="51"/>
      <c r="G485" s="51"/>
      <c r="H485" s="51"/>
      <c r="I485" s="51"/>
    </row>
    <row r="486" spans="5:9" ht="15.75" customHeight="1">
      <c r="E486" s="51"/>
      <c r="F486" s="51"/>
      <c r="G486" s="51"/>
      <c r="H486" s="51"/>
      <c r="I486" s="51"/>
    </row>
    <row r="487" spans="5:9" ht="15.75" customHeight="1">
      <c r="E487" s="51"/>
      <c r="F487" s="51"/>
      <c r="G487" s="51"/>
      <c r="H487" s="51"/>
      <c r="I487" s="51"/>
    </row>
    <row r="488" spans="5:9" ht="15.75" customHeight="1">
      <c r="E488" s="51"/>
      <c r="F488" s="51"/>
      <c r="G488" s="51"/>
      <c r="H488" s="51"/>
      <c r="I488" s="51"/>
    </row>
    <row r="489" spans="5:9" ht="15.75" customHeight="1">
      <c r="E489" s="51"/>
      <c r="F489" s="51"/>
      <c r="G489" s="51"/>
      <c r="H489" s="51"/>
      <c r="I489" s="51"/>
    </row>
    <row r="490" spans="5:9" ht="15.75" customHeight="1">
      <c r="E490" s="51"/>
      <c r="F490" s="51"/>
      <c r="G490" s="51"/>
      <c r="H490" s="51"/>
      <c r="I490" s="51"/>
    </row>
    <row r="491" spans="5:9" ht="15.75" customHeight="1">
      <c r="E491" s="51"/>
      <c r="F491" s="51"/>
      <c r="G491" s="51"/>
      <c r="H491" s="51"/>
      <c r="I491" s="51"/>
    </row>
    <row r="492" spans="5:9" ht="15.75" customHeight="1">
      <c r="E492" s="51"/>
      <c r="F492" s="51"/>
      <c r="G492" s="51"/>
      <c r="H492" s="51"/>
      <c r="I492" s="51"/>
    </row>
    <row r="493" spans="5:9" ht="15.75" customHeight="1">
      <c r="E493" s="51"/>
      <c r="F493" s="51"/>
      <c r="G493" s="51"/>
      <c r="H493" s="51"/>
      <c r="I493" s="51"/>
    </row>
    <row r="494" spans="5:9" ht="15.75" customHeight="1">
      <c r="E494" s="51"/>
      <c r="F494" s="51"/>
      <c r="G494" s="51"/>
      <c r="H494" s="51"/>
      <c r="I494" s="51"/>
    </row>
    <row r="495" spans="5:9" ht="15.75" customHeight="1">
      <c r="E495" s="51"/>
      <c r="F495" s="51"/>
      <c r="G495" s="51"/>
      <c r="H495" s="51"/>
      <c r="I495" s="51"/>
    </row>
    <row r="496" spans="5:9" ht="15.75" customHeight="1">
      <c r="E496" s="51"/>
      <c r="F496" s="51"/>
      <c r="G496" s="51"/>
      <c r="H496" s="51"/>
      <c r="I496" s="51"/>
    </row>
    <row r="497" spans="5:9" ht="15.75" customHeight="1">
      <c r="E497" s="51"/>
      <c r="F497" s="51"/>
      <c r="G497" s="51"/>
      <c r="H497" s="51"/>
      <c r="I497" s="51"/>
    </row>
    <row r="498" spans="5:9" ht="15.75" customHeight="1">
      <c r="E498" s="51"/>
      <c r="F498" s="51"/>
      <c r="G498" s="51"/>
      <c r="H498" s="51"/>
      <c r="I498" s="51"/>
    </row>
    <row r="499" spans="5:9" ht="15.75" customHeight="1">
      <c r="E499" s="51"/>
      <c r="F499" s="51"/>
      <c r="G499" s="51"/>
      <c r="H499" s="51"/>
      <c r="I499" s="51"/>
    </row>
    <row r="500" spans="5:9" ht="15.75" customHeight="1">
      <c r="E500" s="51"/>
      <c r="F500" s="51"/>
      <c r="G500" s="51"/>
      <c r="H500" s="51"/>
      <c r="I500" s="51"/>
    </row>
    <row r="501" spans="5:9" ht="15.75" customHeight="1">
      <c r="E501" s="51"/>
      <c r="F501" s="51"/>
      <c r="G501" s="51"/>
      <c r="H501" s="51"/>
      <c r="I501" s="51"/>
    </row>
    <row r="502" spans="5:9" ht="15.75" customHeight="1">
      <c r="E502" s="51"/>
      <c r="F502" s="51"/>
      <c r="G502" s="51"/>
      <c r="H502" s="51"/>
      <c r="I502" s="51"/>
    </row>
    <row r="503" spans="5:9" ht="15.75" customHeight="1">
      <c r="E503" s="51"/>
      <c r="F503" s="51"/>
      <c r="G503" s="51"/>
      <c r="H503" s="51"/>
      <c r="I503" s="51"/>
    </row>
    <row r="504" spans="5:9" ht="15.75" customHeight="1">
      <c r="E504" s="51"/>
      <c r="F504" s="51"/>
      <c r="G504" s="51"/>
      <c r="H504" s="51"/>
      <c r="I504" s="51"/>
    </row>
    <row r="505" spans="5:9" ht="15.75" customHeight="1">
      <c r="E505" s="51"/>
      <c r="F505" s="51"/>
      <c r="G505" s="51"/>
      <c r="H505" s="51"/>
      <c r="I505" s="51"/>
    </row>
    <row r="506" spans="5:9" ht="15.75" customHeight="1">
      <c r="E506" s="51"/>
      <c r="F506" s="51"/>
      <c r="G506" s="51"/>
      <c r="H506" s="51"/>
      <c r="I506" s="51"/>
    </row>
    <row r="507" spans="5:9" ht="15.75" customHeight="1">
      <c r="E507" s="51"/>
      <c r="F507" s="51"/>
      <c r="G507" s="51"/>
      <c r="H507" s="51"/>
      <c r="I507" s="51"/>
    </row>
    <row r="508" spans="5:9" ht="15.75" customHeight="1">
      <c r="E508" s="51"/>
      <c r="F508" s="51"/>
      <c r="G508" s="51"/>
      <c r="H508" s="51"/>
      <c r="I508" s="51"/>
    </row>
    <row r="509" spans="5:9" ht="15.75" customHeight="1">
      <c r="E509" s="51"/>
      <c r="F509" s="51"/>
      <c r="G509" s="51"/>
      <c r="H509" s="51"/>
      <c r="I509" s="51"/>
    </row>
    <row r="510" spans="5:9" ht="15.75" customHeight="1">
      <c r="E510" s="51"/>
      <c r="F510" s="51"/>
      <c r="G510" s="51"/>
      <c r="H510" s="51"/>
      <c r="I510" s="51"/>
    </row>
    <row r="511" spans="5:9" ht="15.75" customHeight="1">
      <c r="E511" s="51"/>
      <c r="F511" s="51"/>
      <c r="G511" s="51"/>
      <c r="H511" s="51"/>
      <c r="I511" s="51"/>
    </row>
    <row r="512" spans="5:9" ht="15.75" customHeight="1">
      <c r="E512" s="51"/>
      <c r="F512" s="51"/>
      <c r="G512" s="51"/>
      <c r="H512" s="51"/>
      <c r="I512" s="51"/>
    </row>
    <row r="513" spans="5:9" ht="15.75" customHeight="1">
      <c r="E513" s="51"/>
      <c r="F513" s="51"/>
      <c r="G513" s="51"/>
      <c r="H513" s="51"/>
      <c r="I513" s="51"/>
    </row>
    <row r="514" spans="5:9" ht="15.75" customHeight="1">
      <c r="E514" s="51"/>
      <c r="F514" s="51"/>
      <c r="G514" s="51"/>
      <c r="H514" s="51"/>
      <c r="I514" s="51"/>
    </row>
    <row r="515" spans="5:9" ht="15.75" customHeight="1">
      <c r="E515" s="51"/>
      <c r="F515" s="51"/>
      <c r="G515" s="51"/>
      <c r="H515" s="51"/>
      <c r="I515" s="51"/>
    </row>
    <row r="516" spans="5:9" ht="15.75" customHeight="1">
      <c r="E516" s="51"/>
      <c r="F516" s="51"/>
      <c r="G516" s="51"/>
      <c r="H516" s="51"/>
      <c r="I516" s="51"/>
    </row>
    <row r="517" spans="5:9" ht="15.75" customHeight="1">
      <c r="E517" s="51"/>
      <c r="F517" s="51"/>
      <c r="G517" s="51"/>
      <c r="H517" s="51"/>
      <c r="I517" s="51"/>
    </row>
    <row r="518" spans="5:9" ht="15.75" customHeight="1">
      <c r="E518" s="51"/>
      <c r="F518" s="51"/>
      <c r="G518" s="51"/>
      <c r="H518" s="51"/>
      <c r="I518" s="51"/>
    </row>
    <row r="519" spans="5:9" ht="15.75" customHeight="1">
      <c r="E519" s="51"/>
      <c r="F519" s="51"/>
      <c r="G519" s="51"/>
      <c r="H519" s="51"/>
      <c r="I519" s="51"/>
    </row>
    <row r="520" spans="5:9" ht="15.75" customHeight="1">
      <c r="E520" s="51"/>
      <c r="F520" s="51"/>
      <c r="G520" s="51"/>
      <c r="H520" s="51"/>
      <c r="I520" s="51"/>
    </row>
    <row r="521" spans="5:9" ht="15.75" customHeight="1">
      <c r="E521" s="51"/>
      <c r="F521" s="51"/>
      <c r="G521" s="51"/>
      <c r="H521" s="51"/>
      <c r="I521" s="51"/>
    </row>
    <row r="522" spans="5:9" ht="15.75" customHeight="1">
      <c r="E522" s="51"/>
      <c r="F522" s="51"/>
      <c r="G522" s="51"/>
      <c r="H522" s="51"/>
      <c r="I522" s="51"/>
    </row>
    <row r="523" spans="5:9" ht="15.75" customHeight="1">
      <c r="E523" s="51"/>
      <c r="F523" s="51"/>
      <c r="G523" s="51"/>
      <c r="H523" s="51"/>
      <c r="I523" s="51"/>
    </row>
    <row r="524" spans="5:9" ht="15.75" customHeight="1">
      <c r="E524" s="51"/>
      <c r="F524" s="51"/>
      <c r="G524" s="51"/>
      <c r="H524" s="51"/>
      <c r="I524" s="51"/>
    </row>
    <row r="525" spans="5:9" ht="15.75" customHeight="1">
      <c r="E525" s="51"/>
      <c r="F525" s="51"/>
      <c r="G525" s="51"/>
      <c r="H525" s="51"/>
      <c r="I525" s="51"/>
    </row>
    <row r="526" spans="5:9" ht="15.75" customHeight="1">
      <c r="E526" s="51"/>
      <c r="F526" s="51"/>
      <c r="G526" s="51"/>
      <c r="H526" s="51"/>
      <c r="I526" s="51"/>
    </row>
    <row r="527" spans="5:9" ht="15.75" customHeight="1">
      <c r="E527" s="51"/>
      <c r="F527" s="51"/>
      <c r="G527" s="51"/>
      <c r="H527" s="51"/>
      <c r="I527" s="51"/>
    </row>
    <row r="528" spans="5:9" ht="15.75" customHeight="1">
      <c r="E528" s="51"/>
      <c r="F528" s="51"/>
      <c r="G528" s="51"/>
      <c r="H528" s="51"/>
      <c r="I528" s="51"/>
    </row>
    <row r="529" spans="5:9" ht="15.75" customHeight="1">
      <c r="E529" s="51"/>
      <c r="F529" s="51"/>
      <c r="G529" s="51"/>
      <c r="H529" s="51"/>
      <c r="I529" s="51"/>
    </row>
    <row r="530" spans="5:9" ht="15.75" customHeight="1">
      <c r="E530" s="51"/>
      <c r="F530" s="51"/>
      <c r="G530" s="51"/>
      <c r="H530" s="51"/>
      <c r="I530" s="51"/>
    </row>
    <row r="531" spans="5:9" ht="15.75" customHeight="1">
      <c r="E531" s="51"/>
      <c r="F531" s="51"/>
      <c r="G531" s="51"/>
      <c r="H531" s="51"/>
      <c r="I531" s="51"/>
    </row>
    <row r="532" spans="5:9" ht="15.75" customHeight="1">
      <c r="E532" s="51"/>
      <c r="F532" s="51"/>
      <c r="G532" s="51"/>
      <c r="H532" s="51"/>
      <c r="I532" s="51"/>
    </row>
    <row r="533" spans="5:9" ht="15.75" customHeight="1">
      <c r="E533" s="51"/>
      <c r="F533" s="51"/>
      <c r="G533" s="51"/>
      <c r="H533" s="51"/>
      <c r="I533" s="51"/>
    </row>
    <row r="534" spans="5:9" ht="15.75" customHeight="1">
      <c r="E534" s="51"/>
      <c r="F534" s="51"/>
      <c r="G534" s="51"/>
      <c r="H534" s="51"/>
      <c r="I534" s="51"/>
    </row>
    <row r="535" spans="5:9" ht="15.75" customHeight="1">
      <c r="E535" s="51"/>
      <c r="F535" s="51"/>
      <c r="G535" s="51"/>
      <c r="H535" s="51"/>
      <c r="I535" s="51"/>
    </row>
    <row r="536" spans="5:9" ht="15.75" customHeight="1">
      <c r="E536" s="51"/>
      <c r="F536" s="51"/>
      <c r="G536" s="51"/>
      <c r="H536" s="51"/>
      <c r="I536" s="51"/>
    </row>
    <row r="537" spans="5:9" ht="15.75" customHeight="1">
      <c r="E537" s="51"/>
      <c r="F537" s="51"/>
      <c r="G537" s="51"/>
      <c r="H537" s="51"/>
      <c r="I537" s="51"/>
    </row>
    <row r="538" spans="5:9" ht="15.75" customHeight="1">
      <c r="E538" s="51"/>
      <c r="F538" s="51"/>
      <c r="G538" s="51"/>
      <c r="H538" s="51"/>
      <c r="I538" s="51"/>
    </row>
    <row r="539" spans="5:9" ht="15.75" customHeight="1">
      <c r="E539" s="51"/>
      <c r="F539" s="51"/>
      <c r="G539" s="51"/>
      <c r="H539" s="51"/>
      <c r="I539" s="51"/>
    </row>
    <row r="540" spans="5:9" ht="15.75" customHeight="1">
      <c r="E540" s="51"/>
      <c r="F540" s="51"/>
      <c r="G540" s="51"/>
      <c r="H540" s="51"/>
      <c r="I540" s="51"/>
    </row>
    <row r="541" spans="5:9" ht="15.75" customHeight="1">
      <c r="E541" s="51"/>
      <c r="F541" s="51"/>
      <c r="G541" s="51"/>
      <c r="H541" s="51"/>
      <c r="I541" s="51"/>
    </row>
    <row r="542" spans="5:9" ht="15.75" customHeight="1">
      <c r="E542" s="51"/>
      <c r="F542" s="51"/>
      <c r="G542" s="51"/>
      <c r="H542" s="51"/>
      <c r="I542" s="51"/>
    </row>
    <row r="543" spans="5:9" ht="15.75" customHeight="1">
      <c r="E543" s="51"/>
      <c r="F543" s="51"/>
      <c r="G543" s="51"/>
      <c r="H543" s="51"/>
      <c r="I543" s="51"/>
    </row>
    <row r="544" spans="5:9" ht="15.75" customHeight="1">
      <c r="E544" s="51"/>
      <c r="F544" s="51"/>
      <c r="G544" s="51"/>
      <c r="H544" s="51"/>
      <c r="I544" s="51"/>
    </row>
    <row r="545" spans="5:9" ht="15.75" customHeight="1">
      <c r="E545" s="51"/>
      <c r="F545" s="51"/>
      <c r="G545" s="51"/>
      <c r="H545" s="51"/>
      <c r="I545" s="51"/>
    </row>
    <row r="546" spans="5:9" ht="15.75" customHeight="1">
      <c r="E546" s="51"/>
      <c r="F546" s="51"/>
      <c r="G546" s="51"/>
      <c r="H546" s="51"/>
      <c r="I546" s="51"/>
    </row>
    <row r="547" spans="5:9" ht="15.75" customHeight="1">
      <c r="E547" s="51"/>
      <c r="F547" s="51"/>
      <c r="G547" s="51"/>
      <c r="H547" s="51"/>
      <c r="I547" s="51"/>
    </row>
    <row r="548" spans="5:9" ht="15.75" customHeight="1">
      <c r="E548" s="51"/>
      <c r="F548" s="51"/>
      <c r="G548" s="51"/>
      <c r="H548" s="51"/>
      <c r="I548" s="51"/>
    </row>
    <row r="549" spans="5:9" ht="15.75" customHeight="1">
      <c r="E549" s="51"/>
      <c r="F549" s="51"/>
      <c r="G549" s="51"/>
      <c r="H549" s="51"/>
      <c r="I549" s="51"/>
    </row>
    <row r="550" spans="5:9" ht="15.75" customHeight="1">
      <c r="E550" s="51"/>
      <c r="F550" s="51"/>
      <c r="G550" s="51"/>
      <c r="H550" s="51"/>
      <c r="I550" s="51"/>
    </row>
    <row r="551" spans="5:9" ht="15.75" customHeight="1">
      <c r="E551" s="51"/>
      <c r="F551" s="51"/>
      <c r="G551" s="51"/>
      <c r="H551" s="51"/>
      <c r="I551" s="51"/>
    </row>
    <row r="552" spans="5:9" ht="15.75" customHeight="1">
      <c r="E552" s="51"/>
      <c r="F552" s="51"/>
      <c r="G552" s="51"/>
      <c r="H552" s="51"/>
      <c r="I552" s="51"/>
    </row>
    <row r="553" spans="5:9" ht="15.75" customHeight="1">
      <c r="E553" s="51"/>
      <c r="F553" s="51"/>
      <c r="G553" s="51"/>
      <c r="H553" s="51"/>
      <c r="I553" s="51"/>
    </row>
    <row r="554" spans="5:9" ht="15.75" customHeight="1">
      <c r="E554" s="51"/>
      <c r="F554" s="51"/>
      <c r="G554" s="51"/>
      <c r="H554" s="51"/>
      <c r="I554" s="51"/>
    </row>
    <row r="555" spans="5:9" ht="15.75" customHeight="1">
      <c r="E555" s="51"/>
      <c r="F555" s="51"/>
      <c r="G555" s="51"/>
      <c r="H555" s="51"/>
      <c r="I555" s="51"/>
    </row>
    <row r="556" spans="5:9" ht="15.75" customHeight="1">
      <c r="E556" s="51"/>
      <c r="F556" s="51"/>
      <c r="G556" s="51"/>
      <c r="H556" s="51"/>
      <c r="I556" s="51"/>
    </row>
    <row r="557" spans="5:9" ht="15.75" customHeight="1">
      <c r="E557" s="51"/>
      <c r="F557" s="51"/>
      <c r="G557" s="51"/>
      <c r="H557" s="51"/>
      <c r="I557" s="51"/>
    </row>
    <row r="558" spans="5:9" ht="15.75" customHeight="1">
      <c r="E558" s="51"/>
      <c r="F558" s="51"/>
      <c r="G558" s="51"/>
      <c r="H558" s="51"/>
      <c r="I558" s="51"/>
    </row>
    <row r="559" spans="5:9" ht="15.75" customHeight="1">
      <c r="E559" s="51"/>
      <c r="F559" s="51"/>
      <c r="G559" s="51"/>
      <c r="H559" s="51"/>
      <c r="I559" s="51"/>
    </row>
    <row r="560" spans="5:9" ht="15.75" customHeight="1">
      <c r="E560" s="51"/>
      <c r="F560" s="51"/>
      <c r="G560" s="51"/>
      <c r="H560" s="51"/>
      <c r="I560" s="51"/>
    </row>
    <row r="561" spans="5:9" ht="15.75" customHeight="1">
      <c r="E561" s="51"/>
      <c r="F561" s="51"/>
      <c r="G561" s="51"/>
      <c r="H561" s="51"/>
      <c r="I561" s="51"/>
    </row>
    <row r="562" spans="5:9" ht="15.75" customHeight="1">
      <c r="E562" s="51"/>
      <c r="F562" s="51"/>
      <c r="G562" s="51"/>
      <c r="H562" s="51"/>
      <c r="I562" s="51"/>
    </row>
    <row r="563" spans="5:9" ht="15.75" customHeight="1">
      <c r="E563" s="51"/>
      <c r="F563" s="51"/>
      <c r="G563" s="51"/>
      <c r="H563" s="51"/>
      <c r="I563" s="51"/>
    </row>
    <row r="564" spans="5:9" ht="15.75" customHeight="1">
      <c r="E564" s="51"/>
      <c r="F564" s="51"/>
      <c r="G564" s="51"/>
      <c r="H564" s="51"/>
      <c r="I564" s="51"/>
    </row>
    <row r="565" spans="5:9" ht="15.75" customHeight="1">
      <c r="E565" s="51"/>
      <c r="F565" s="51"/>
      <c r="G565" s="51"/>
      <c r="H565" s="51"/>
      <c r="I565" s="51"/>
    </row>
    <row r="566" spans="5:9" ht="15.75" customHeight="1">
      <c r="E566" s="51"/>
      <c r="F566" s="51"/>
      <c r="G566" s="51"/>
      <c r="H566" s="51"/>
      <c r="I566" s="51"/>
    </row>
    <row r="567" spans="5:9" ht="15.75" customHeight="1">
      <c r="E567" s="51"/>
      <c r="F567" s="51"/>
      <c r="G567" s="51"/>
      <c r="H567" s="51"/>
      <c r="I567" s="51"/>
    </row>
    <row r="568" spans="5:9" ht="15.75" customHeight="1">
      <c r="E568" s="51"/>
      <c r="F568" s="51"/>
      <c r="G568" s="51"/>
      <c r="H568" s="51"/>
      <c r="I568" s="51"/>
    </row>
    <row r="569" spans="5:9" ht="15.75" customHeight="1">
      <c r="E569" s="51"/>
      <c r="F569" s="51"/>
      <c r="G569" s="51"/>
      <c r="H569" s="51"/>
      <c r="I569" s="51"/>
    </row>
    <row r="570" spans="5:9" ht="15.75" customHeight="1">
      <c r="E570" s="51"/>
      <c r="F570" s="51"/>
      <c r="G570" s="51"/>
      <c r="H570" s="51"/>
      <c r="I570" s="51"/>
    </row>
    <row r="571" spans="5:9" ht="15.75" customHeight="1">
      <c r="E571" s="51"/>
      <c r="F571" s="51"/>
      <c r="G571" s="51"/>
      <c r="H571" s="51"/>
      <c r="I571" s="51"/>
    </row>
    <row r="572" spans="5:9" ht="15.75" customHeight="1">
      <c r="E572" s="51"/>
      <c r="F572" s="51"/>
      <c r="G572" s="51"/>
      <c r="H572" s="51"/>
      <c r="I572" s="51"/>
    </row>
    <row r="573" spans="5:9" ht="15.75" customHeight="1">
      <c r="E573" s="51"/>
      <c r="F573" s="51"/>
      <c r="G573" s="51"/>
      <c r="H573" s="51"/>
      <c r="I573" s="51"/>
    </row>
    <row r="574" spans="5:9" ht="15.75" customHeight="1">
      <c r="E574" s="51"/>
      <c r="F574" s="51"/>
      <c r="G574" s="51"/>
      <c r="H574" s="51"/>
      <c r="I574" s="51"/>
    </row>
    <row r="575" spans="5:9" ht="15.75" customHeight="1">
      <c r="E575" s="51"/>
      <c r="F575" s="51"/>
      <c r="G575" s="51"/>
      <c r="H575" s="51"/>
      <c r="I575" s="51"/>
    </row>
    <row r="576" spans="5:9" ht="15.75" customHeight="1">
      <c r="E576" s="51"/>
      <c r="F576" s="51"/>
      <c r="G576" s="51"/>
      <c r="H576" s="51"/>
      <c r="I576" s="51"/>
    </row>
    <row r="577" spans="5:9" ht="15.75" customHeight="1">
      <c r="E577" s="51"/>
      <c r="F577" s="51"/>
      <c r="G577" s="51"/>
      <c r="H577" s="51"/>
      <c r="I577" s="51"/>
    </row>
    <row r="578" spans="5:9" ht="15.75" customHeight="1">
      <c r="E578" s="51"/>
      <c r="F578" s="51"/>
      <c r="G578" s="51"/>
      <c r="H578" s="51"/>
      <c r="I578" s="51"/>
    </row>
    <row r="579" spans="5:9" ht="15.75" customHeight="1">
      <c r="E579" s="51"/>
      <c r="F579" s="51"/>
      <c r="G579" s="51"/>
      <c r="H579" s="51"/>
      <c r="I579" s="51"/>
    </row>
    <row r="580" spans="5:9" ht="15.75" customHeight="1">
      <c r="E580" s="51"/>
      <c r="F580" s="51"/>
      <c r="G580" s="51"/>
      <c r="H580" s="51"/>
      <c r="I580" s="51"/>
    </row>
    <row r="581" spans="5:9" ht="15.75" customHeight="1">
      <c r="E581" s="51"/>
      <c r="F581" s="51"/>
      <c r="G581" s="51"/>
      <c r="H581" s="51"/>
      <c r="I581" s="51"/>
    </row>
    <row r="582" spans="5:9" ht="15.75" customHeight="1">
      <c r="E582" s="51"/>
      <c r="F582" s="51"/>
      <c r="G582" s="51"/>
      <c r="H582" s="51"/>
      <c r="I582" s="51"/>
    </row>
    <row r="583" spans="5:9" ht="15.75" customHeight="1">
      <c r="E583" s="51"/>
      <c r="F583" s="51"/>
      <c r="G583" s="51"/>
      <c r="H583" s="51"/>
      <c r="I583" s="51"/>
    </row>
    <row r="584" spans="5:9" ht="15.75" customHeight="1">
      <c r="E584" s="51"/>
      <c r="F584" s="51"/>
      <c r="G584" s="51"/>
      <c r="H584" s="51"/>
      <c r="I584" s="51"/>
    </row>
    <row r="585" spans="5:9" ht="15.75" customHeight="1">
      <c r="E585" s="51"/>
      <c r="F585" s="51"/>
      <c r="G585" s="51"/>
      <c r="H585" s="51"/>
      <c r="I585" s="51"/>
    </row>
    <row r="586" spans="5:9" ht="15.75" customHeight="1">
      <c r="E586" s="51"/>
      <c r="F586" s="51"/>
      <c r="G586" s="51"/>
      <c r="H586" s="51"/>
      <c r="I586" s="51"/>
    </row>
    <row r="587" spans="5:9" ht="15.75" customHeight="1">
      <c r="E587" s="51"/>
      <c r="F587" s="51"/>
      <c r="G587" s="51"/>
      <c r="H587" s="51"/>
      <c r="I587" s="51"/>
    </row>
    <row r="588" spans="5:9" ht="15.75" customHeight="1">
      <c r="E588" s="51"/>
      <c r="F588" s="51"/>
      <c r="G588" s="51"/>
      <c r="H588" s="51"/>
      <c r="I588" s="51"/>
    </row>
    <row r="589" spans="5:9" ht="15.75" customHeight="1">
      <c r="E589" s="51"/>
      <c r="F589" s="51"/>
      <c r="G589" s="51"/>
      <c r="H589" s="51"/>
      <c r="I589" s="51"/>
    </row>
    <row r="590" spans="5:9" ht="15.75" customHeight="1">
      <c r="E590" s="51"/>
      <c r="F590" s="51"/>
      <c r="G590" s="51"/>
      <c r="H590" s="51"/>
      <c r="I590" s="51"/>
    </row>
    <row r="591" spans="5:9" ht="15.75" customHeight="1">
      <c r="E591" s="51"/>
      <c r="F591" s="51"/>
      <c r="G591" s="51"/>
      <c r="H591" s="51"/>
      <c r="I591" s="51"/>
    </row>
    <row r="592" spans="5:9" ht="15.75" customHeight="1">
      <c r="E592" s="51"/>
      <c r="F592" s="51"/>
      <c r="G592" s="51"/>
      <c r="H592" s="51"/>
      <c r="I592" s="51"/>
    </row>
    <row r="593" spans="5:9" ht="15.75" customHeight="1">
      <c r="E593" s="51"/>
      <c r="F593" s="51"/>
      <c r="G593" s="51"/>
      <c r="H593" s="51"/>
      <c r="I593" s="51"/>
    </row>
    <row r="594" spans="5:9" ht="15.75" customHeight="1">
      <c r="E594" s="51"/>
      <c r="F594" s="51"/>
      <c r="G594" s="51"/>
      <c r="H594" s="51"/>
      <c r="I594" s="51"/>
    </row>
    <row r="595" spans="5:9" ht="15.75" customHeight="1">
      <c r="E595" s="51"/>
      <c r="F595" s="51"/>
      <c r="G595" s="51"/>
      <c r="H595" s="51"/>
      <c r="I595" s="51"/>
    </row>
    <row r="596" spans="5:9" ht="15.75" customHeight="1">
      <c r="E596" s="51"/>
      <c r="F596" s="51"/>
      <c r="G596" s="51"/>
      <c r="H596" s="51"/>
      <c r="I596" s="51"/>
    </row>
    <row r="597" spans="5:9" ht="15.75" customHeight="1">
      <c r="E597" s="51"/>
      <c r="F597" s="51"/>
      <c r="G597" s="51"/>
      <c r="H597" s="51"/>
      <c r="I597" s="51"/>
    </row>
    <row r="598" spans="5:9" ht="15.75" customHeight="1">
      <c r="E598" s="51"/>
      <c r="F598" s="51"/>
      <c r="G598" s="51"/>
      <c r="H598" s="51"/>
      <c r="I598" s="51"/>
    </row>
    <row r="599" spans="5:9" ht="15.75" customHeight="1">
      <c r="E599" s="51"/>
      <c r="F599" s="51"/>
      <c r="G599" s="51"/>
      <c r="H599" s="51"/>
      <c r="I599" s="51"/>
    </row>
    <row r="600" spans="5:9" ht="15.75" customHeight="1">
      <c r="E600" s="51"/>
      <c r="F600" s="51"/>
      <c r="G600" s="51"/>
      <c r="H600" s="51"/>
      <c r="I600" s="51"/>
    </row>
    <row r="601" spans="5:9" ht="15.75" customHeight="1">
      <c r="E601" s="51"/>
      <c r="F601" s="51"/>
      <c r="G601" s="51"/>
      <c r="H601" s="51"/>
      <c r="I601" s="51"/>
    </row>
    <row r="602" spans="5:9" ht="15.75" customHeight="1">
      <c r="E602" s="51"/>
      <c r="F602" s="51"/>
      <c r="G602" s="51"/>
      <c r="H602" s="51"/>
      <c r="I602" s="51"/>
    </row>
    <row r="603" spans="5:9" ht="15.75" customHeight="1">
      <c r="E603" s="51"/>
      <c r="F603" s="51"/>
      <c r="G603" s="51"/>
      <c r="H603" s="51"/>
      <c r="I603" s="51"/>
    </row>
    <row r="604" spans="5:9" ht="15.75" customHeight="1">
      <c r="E604" s="51"/>
      <c r="F604" s="51"/>
      <c r="G604" s="51"/>
      <c r="H604" s="51"/>
      <c r="I604" s="51"/>
    </row>
    <row r="605" spans="5:9" ht="15.75" customHeight="1">
      <c r="E605" s="51"/>
      <c r="F605" s="51"/>
      <c r="G605" s="51"/>
      <c r="H605" s="51"/>
      <c r="I605" s="51"/>
    </row>
    <row r="606" spans="5:9" ht="15.75" customHeight="1">
      <c r="E606" s="51"/>
      <c r="F606" s="51"/>
      <c r="G606" s="51"/>
      <c r="H606" s="51"/>
      <c r="I606" s="51"/>
    </row>
    <row r="607" spans="5:9" ht="15.75" customHeight="1">
      <c r="E607" s="51"/>
      <c r="F607" s="51"/>
      <c r="G607" s="51"/>
      <c r="H607" s="51"/>
      <c r="I607" s="51"/>
    </row>
    <row r="608" spans="5:9" ht="15.75" customHeight="1">
      <c r="E608" s="51"/>
      <c r="F608" s="51"/>
      <c r="G608" s="51"/>
      <c r="H608" s="51"/>
      <c r="I608" s="51"/>
    </row>
    <row r="609" spans="5:9" ht="15.75" customHeight="1">
      <c r="E609" s="51"/>
      <c r="F609" s="51"/>
      <c r="G609" s="51"/>
      <c r="H609" s="51"/>
      <c r="I609" s="51"/>
    </row>
    <row r="610" spans="5:9" ht="15.75" customHeight="1">
      <c r="E610" s="51"/>
      <c r="F610" s="51"/>
      <c r="G610" s="51"/>
      <c r="H610" s="51"/>
      <c r="I610" s="51"/>
    </row>
    <row r="611" spans="5:9" ht="15.75" customHeight="1">
      <c r="E611" s="51"/>
      <c r="F611" s="51"/>
      <c r="G611" s="51"/>
      <c r="H611" s="51"/>
      <c r="I611" s="51"/>
    </row>
    <row r="612" spans="5:9" ht="15.75" customHeight="1">
      <c r="E612" s="51"/>
      <c r="F612" s="51"/>
      <c r="G612" s="51"/>
      <c r="H612" s="51"/>
      <c r="I612" s="51"/>
    </row>
    <row r="613" spans="5:9" ht="15.75" customHeight="1">
      <c r="E613" s="51"/>
      <c r="F613" s="51"/>
      <c r="G613" s="51"/>
      <c r="H613" s="51"/>
      <c r="I613" s="51"/>
    </row>
    <row r="614" spans="5:9" ht="15.75" customHeight="1">
      <c r="E614" s="51"/>
      <c r="F614" s="51"/>
      <c r="G614" s="51"/>
      <c r="H614" s="51"/>
      <c r="I614" s="51"/>
    </row>
    <row r="615" spans="5:9" ht="15.75" customHeight="1">
      <c r="E615" s="51"/>
      <c r="F615" s="51"/>
      <c r="G615" s="51"/>
      <c r="H615" s="51"/>
      <c r="I615" s="51"/>
    </row>
    <row r="616" spans="5:9" ht="15.75" customHeight="1">
      <c r="E616" s="51"/>
      <c r="F616" s="51"/>
      <c r="G616" s="51"/>
      <c r="H616" s="51"/>
      <c r="I616" s="51"/>
    </row>
    <row r="617" spans="5:9" ht="15.75" customHeight="1">
      <c r="E617" s="51"/>
      <c r="F617" s="51"/>
      <c r="G617" s="51"/>
      <c r="H617" s="51"/>
      <c r="I617" s="51"/>
    </row>
    <row r="618" spans="5:9" ht="15.75" customHeight="1">
      <c r="E618" s="51"/>
      <c r="F618" s="51"/>
      <c r="G618" s="51"/>
      <c r="H618" s="51"/>
      <c r="I618" s="51"/>
    </row>
    <row r="619" spans="5:9" ht="15.75" customHeight="1">
      <c r="E619" s="51"/>
      <c r="F619" s="51"/>
      <c r="G619" s="51"/>
      <c r="H619" s="51"/>
      <c r="I619" s="51"/>
    </row>
    <row r="620" spans="5:9" ht="15.75" customHeight="1">
      <c r="E620" s="51"/>
      <c r="F620" s="51"/>
      <c r="G620" s="51"/>
      <c r="H620" s="51"/>
      <c r="I620" s="51"/>
    </row>
    <row r="621" spans="5:9" ht="15.75" customHeight="1">
      <c r="E621" s="51"/>
      <c r="F621" s="51"/>
      <c r="G621" s="51"/>
      <c r="H621" s="51"/>
      <c r="I621" s="51"/>
    </row>
    <row r="622" spans="5:9" ht="15.75" customHeight="1">
      <c r="E622" s="51"/>
      <c r="F622" s="51"/>
      <c r="G622" s="51"/>
      <c r="H622" s="51"/>
      <c r="I622" s="51"/>
    </row>
    <row r="623" spans="5:9" ht="15.75" customHeight="1">
      <c r="E623" s="51"/>
      <c r="F623" s="51"/>
      <c r="G623" s="51"/>
      <c r="H623" s="51"/>
      <c r="I623" s="51"/>
    </row>
    <row r="624" spans="5:9" ht="15.75" customHeight="1">
      <c r="E624" s="51"/>
      <c r="F624" s="51"/>
      <c r="G624" s="51"/>
      <c r="H624" s="51"/>
      <c r="I624" s="51"/>
    </row>
    <row r="625" spans="5:9" ht="15.75" customHeight="1">
      <c r="E625" s="51"/>
      <c r="F625" s="51"/>
      <c r="G625" s="51"/>
      <c r="H625" s="51"/>
      <c r="I625" s="51"/>
    </row>
    <row r="626" spans="5:9" ht="15.75" customHeight="1">
      <c r="E626" s="51"/>
      <c r="F626" s="51"/>
      <c r="G626" s="51"/>
      <c r="H626" s="51"/>
      <c r="I626" s="51"/>
    </row>
    <row r="627" spans="5:9" ht="15.75" customHeight="1">
      <c r="E627" s="51"/>
      <c r="F627" s="51"/>
      <c r="G627" s="51"/>
      <c r="H627" s="51"/>
      <c r="I627" s="51"/>
    </row>
    <row r="628" spans="5:9" ht="15.75" customHeight="1">
      <c r="E628" s="51"/>
      <c r="F628" s="51"/>
      <c r="G628" s="51"/>
      <c r="H628" s="51"/>
      <c r="I628" s="51"/>
    </row>
    <row r="629" spans="5:9" ht="15.75" customHeight="1">
      <c r="E629" s="51"/>
      <c r="F629" s="51"/>
      <c r="G629" s="51"/>
      <c r="H629" s="51"/>
      <c r="I629" s="51"/>
    </row>
    <row r="630" spans="5:9" ht="15.75" customHeight="1">
      <c r="E630" s="51"/>
      <c r="F630" s="51"/>
      <c r="G630" s="51"/>
      <c r="H630" s="51"/>
      <c r="I630" s="51"/>
    </row>
    <row r="631" spans="5:9" ht="15.75" customHeight="1">
      <c r="E631" s="51"/>
      <c r="F631" s="51"/>
      <c r="G631" s="51"/>
      <c r="H631" s="51"/>
      <c r="I631" s="51"/>
    </row>
    <row r="632" spans="5:9" ht="15.75" customHeight="1">
      <c r="E632" s="51"/>
      <c r="F632" s="51"/>
      <c r="G632" s="51"/>
      <c r="H632" s="51"/>
      <c r="I632" s="51"/>
    </row>
    <row r="633" spans="5:9" ht="15.75" customHeight="1">
      <c r="E633" s="51"/>
      <c r="F633" s="51"/>
      <c r="G633" s="51"/>
      <c r="H633" s="51"/>
      <c r="I633" s="51"/>
    </row>
    <row r="634" spans="5:9" ht="15.75" customHeight="1">
      <c r="E634" s="51"/>
      <c r="F634" s="51"/>
      <c r="G634" s="51"/>
      <c r="H634" s="51"/>
      <c r="I634" s="51"/>
    </row>
    <row r="635" spans="5:9" ht="15.75" customHeight="1">
      <c r="E635" s="51"/>
      <c r="F635" s="51"/>
      <c r="G635" s="51"/>
      <c r="H635" s="51"/>
      <c r="I635" s="51"/>
    </row>
    <row r="636" spans="5:9" ht="15.75" customHeight="1">
      <c r="E636" s="51"/>
      <c r="F636" s="51"/>
      <c r="G636" s="51"/>
      <c r="H636" s="51"/>
      <c r="I636" s="51"/>
    </row>
    <row r="637" spans="5:9" ht="15.75" customHeight="1">
      <c r="E637" s="51"/>
      <c r="F637" s="51"/>
      <c r="G637" s="51"/>
      <c r="H637" s="51"/>
      <c r="I637" s="51"/>
    </row>
    <row r="638" spans="5:9" ht="15.75" customHeight="1">
      <c r="E638" s="51"/>
      <c r="F638" s="51"/>
      <c r="G638" s="51"/>
      <c r="H638" s="51"/>
      <c r="I638" s="51"/>
    </row>
    <row r="639" spans="5:9" ht="15.75" customHeight="1">
      <c r="E639" s="51"/>
      <c r="F639" s="51"/>
      <c r="G639" s="51"/>
      <c r="H639" s="51"/>
      <c r="I639" s="51"/>
    </row>
    <row r="640" spans="5:9" ht="15.75" customHeight="1">
      <c r="E640" s="51"/>
      <c r="F640" s="51"/>
      <c r="G640" s="51"/>
      <c r="H640" s="51"/>
      <c r="I640" s="51"/>
    </row>
    <row r="641" spans="5:9" ht="15.75" customHeight="1">
      <c r="E641" s="51"/>
      <c r="F641" s="51"/>
      <c r="G641" s="51"/>
      <c r="H641" s="51"/>
      <c r="I641" s="51"/>
    </row>
    <row r="642" spans="5:9" ht="15.75" customHeight="1">
      <c r="E642" s="51"/>
      <c r="F642" s="51"/>
      <c r="G642" s="51"/>
      <c r="H642" s="51"/>
      <c r="I642" s="51"/>
    </row>
    <row r="643" spans="5:9" ht="15.75" customHeight="1">
      <c r="E643" s="51"/>
      <c r="F643" s="51"/>
      <c r="G643" s="51"/>
      <c r="H643" s="51"/>
      <c r="I643" s="51"/>
    </row>
    <row r="644" spans="5:9" ht="15.75" customHeight="1">
      <c r="E644" s="51"/>
      <c r="F644" s="51"/>
      <c r="G644" s="51"/>
      <c r="H644" s="51"/>
      <c r="I644" s="51"/>
    </row>
    <row r="645" spans="5:9" ht="15.75" customHeight="1">
      <c r="E645" s="51"/>
      <c r="F645" s="51"/>
      <c r="G645" s="51"/>
      <c r="H645" s="51"/>
      <c r="I645" s="51"/>
    </row>
    <row r="646" spans="5:9" ht="15.75" customHeight="1">
      <c r="E646" s="51"/>
      <c r="F646" s="51"/>
      <c r="G646" s="51"/>
      <c r="H646" s="51"/>
      <c r="I646" s="51"/>
    </row>
    <row r="647" spans="5:9" ht="15.75" customHeight="1">
      <c r="E647" s="51"/>
      <c r="F647" s="51"/>
      <c r="G647" s="51"/>
      <c r="H647" s="51"/>
      <c r="I647" s="51"/>
    </row>
    <row r="648" spans="5:9" ht="15.75" customHeight="1">
      <c r="E648" s="51"/>
      <c r="F648" s="51"/>
      <c r="G648" s="51"/>
      <c r="H648" s="51"/>
      <c r="I648" s="51"/>
    </row>
    <row r="649" spans="5:9" ht="15.75" customHeight="1">
      <c r="E649" s="51"/>
      <c r="F649" s="51"/>
      <c r="G649" s="51"/>
      <c r="H649" s="51"/>
      <c r="I649" s="51"/>
    </row>
    <row r="650" spans="5:9" ht="15.75" customHeight="1">
      <c r="E650" s="51"/>
      <c r="F650" s="51"/>
      <c r="G650" s="51"/>
      <c r="H650" s="51"/>
      <c r="I650" s="51"/>
    </row>
    <row r="651" spans="5:9" ht="15.75" customHeight="1">
      <c r="E651" s="51"/>
      <c r="F651" s="51"/>
      <c r="G651" s="51"/>
      <c r="H651" s="51"/>
      <c r="I651" s="51"/>
    </row>
    <row r="652" spans="5:9" ht="15.75" customHeight="1">
      <c r="E652" s="51"/>
      <c r="F652" s="51"/>
      <c r="G652" s="51"/>
      <c r="H652" s="51"/>
      <c r="I652" s="51"/>
    </row>
    <row r="653" spans="5:9" ht="15.75" customHeight="1">
      <c r="E653" s="51"/>
      <c r="F653" s="51"/>
      <c r="G653" s="51"/>
      <c r="H653" s="51"/>
      <c r="I653" s="51"/>
    </row>
    <row r="654" spans="5:9" ht="15.75" customHeight="1">
      <c r="E654" s="51"/>
      <c r="F654" s="51"/>
      <c r="G654" s="51"/>
      <c r="H654" s="51"/>
      <c r="I654" s="51"/>
    </row>
    <row r="655" spans="5:9" ht="15.75" customHeight="1">
      <c r="E655" s="51"/>
      <c r="F655" s="51"/>
      <c r="G655" s="51"/>
      <c r="H655" s="51"/>
      <c r="I655" s="51"/>
    </row>
    <row r="656" spans="5:9" ht="15.75" customHeight="1">
      <c r="E656" s="51"/>
      <c r="F656" s="51"/>
      <c r="G656" s="51"/>
      <c r="H656" s="51"/>
      <c r="I656" s="51"/>
    </row>
    <row r="657" spans="5:9" ht="15.75" customHeight="1">
      <c r="E657" s="51"/>
      <c r="F657" s="51"/>
      <c r="G657" s="51"/>
      <c r="H657" s="51"/>
      <c r="I657" s="51"/>
    </row>
    <row r="658" spans="5:9" ht="15.75" customHeight="1">
      <c r="E658" s="51"/>
      <c r="F658" s="51"/>
      <c r="G658" s="51"/>
      <c r="H658" s="51"/>
      <c r="I658" s="51"/>
    </row>
    <row r="659" spans="5:9" ht="15.75" customHeight="1">
      <c r="E659" s="51"/>
      <c r="F659" s="51"/>
      <c r="G659" s="51"/>
      <c r="H659" s="51"/>
      <c r="I659" s="51"/>
    </row>
    <row r="660" spans="5:9" ht="15.75" customHeight="1">
      <c r="E660" s="51"/>
      <c r="F660" s="51"/>
      <c r="G660" s="51"/>
      <c r="H660" s="51"/>
      <c r="I660" s="51"/>
    </row>
    <row r="661" spans="5:9" ht="15.75" customHeight="1">
      <c r="E661" s="51"/>
      <c r="F661" s="51"/>
      <c r="G661" s="51"/>
      <c r="H661" s="51"/>
      <c r="I661" s="51"/>
    </row>
    <row r="662" spans="5:9" ht="15.75" customHeight="1">
      <c r="E662" s="51"/>
      <c r="F662" s="51"/>
      <c r="G662" s="51"/>
      <c r="H662" s="51"/>
      <c r="I662" s="51"/>
    </row>
    <row r="663" spans="5:9" ht="15.75" customHeight="1">
      <c r="E663" s="51"/>
      <c r="F663" s="51"/>
      <c r="G663" s="51"/>
      <c r="H663" s="51"/>
      <c r="I663" s="51"/>
    </row>
    <row r="664" spans="5:9" ht="15.75" customHeight="1">
      <c r="E664" s="51"/>
      <c r="F664" s="51"/>
      <c r="G664" s="51"/>
      <c r="H664" s="51"/>
      <c r="I664" s="51"/>
    </row>
    <row r="665" spans="5:9" ht="15.75" customHeight="1">
      <c r="E665" s="51"/>
      <c r="F665" s="51"/>
      <c r="G665" s="51"/>
      <c r="H665" s="51"/>
      <c r="I665" s="51"/>
    </row>
    <row r="666" spans="5:9" ht="15.75" customHeight="1">
      <c r="E666" s="51"/>
      <c r="F666" s="51"/>
      <c r="G666" s="51"/>
      <c r="H666" s="51"/>
      <c r="I666" s="51"/>
    </row>
    <row r="667" spans="5:9" ht="15.75" customHeight="1">
      <c r="E667" s="51"/>
      <c r="F667" s="51"/>
      <c r="G667" s="51"/>
      <c r="H667" s="51"/>
      <c r="I667" s="51"/>
    </row>
    <row r="668" spans="5:9" ht="15.75" customHeight="1">
      <c r="E668" s="51"/>
      <c r="F668" s="51"/>
      <c r="G668" s="51"/>
      <c r="H668" s="51"/>
      <c r="I668" s="51"/>
    </row>
    <row r="669" spans="5:9" ht="15.75" customHeight="1">
      <c r="E669" s="51"/>
      <c r="F669" s="51"/>
      <c r="G669" s="51"/>
      <c r="H669" s="51"/>
      <c r="I669" s="51"/>
    </row>
    <row r="670" spans="5:9" ht="15.75" customHeight="1">
      <c r="E670" s="51"/>
      <c r="F670" s="51"/>
      <c r="G670" s="51"/>
      <c r="H670" s="51"/>
      <c r="I670" s="51"/>
    </row>
    <row r="671" spans="5:9" ht="15.75" customHeight="1">
      <c r="E671" s="51"/>
      <c r="F671" s="51"/>
      <c r="G671" s="51"/>
      <c r="H671" s="51"/>
      <c r="I671" s="51"/>
    </row>
    <row r="672" spans="5:9" ht="15.75" customHeight="1">
      <c r="E672" s="51"/>
      <c r="F672" s="51"/>
      <c r="G672" s="51"/>
      <c r="H672" s="51"/>
      <c r="I672" s="51"/>
    </row>
    <row r="673" spans="5:9" ht="15.75" customHeight="1">
      <c r="E673" s="51"/>
      <c r="F673" s="51"/>
      <c r="G673" s="51"/>
      <c r="H673" s="51"/>
      <c r="I673" s="51"/>
    </row>
    <row r="674" spans="5:9" ht="15.75" customHeight="1">
      <c r="E674" s="51"/>
      <c r="F674" s="51"/>
      <c r="G674" s="51"/>
      <c r="H674" s="51"/>
      <c r="I674" s="51"/>
    </row>
    <row r="675" spans="5:9" ht="15.75" customHeight="1">
      <c r="E675" s="51"/>
      <c r="F675" s="51"/>
      <c r="G675" s="51"/>
      <c r="H675" s="51"/>
      <c r="I675" s="51"/>
    </row>
    <row r="676" spans="5:9" ht="15.75" customHeight="1">
      <c r="E676" s="51"/>
      <c r="F676" s="51"/>
      <c r="G676" s="51"/>
      <c r="H676" s="51"/>
      <c r="I676" s="51"/>
    </row>
    <row r="677" spans="5:9" ht="15.75" customHeight="1">
      <c r="E677" s="51"/>
      <c r="F677" s="51"/>
      <c r="G677" s="51"/>
      <c r="H677" s="51"/>
      <c r="I677" s="51"/>
    </row>
    <row r="678" spans="5:9" ht="15.75" customHeight="1">
      <c r="E678" s="51"/>
      <c r="F678" s="51"/>
      <c r="G678" s="51"/>
      <c r="H678" s="51"/>
      <c r="I678" s="51"/>
    </row>
    <row r="679" spans="5:9" ht="15.75" customHeight="1">
      <c r="E679" s="51"/>
      <c r="F679" s="51"/>
      <c r="G679" s="51"/>
      <c r="H679" s="51"/>
      <c r="I679" s="51"/>
    </row>
    <row r="680" spans="5:9" ht="15.75" customHeight="1">
      <c r="E680" s="51"/>
      <c r="F680" s="51"/>
      <c r="G680" s="51"/>
      <c r="H680" s="51"/>
      <c r="I680" s="51"/>
    </row>
    <row r="681" spans="5:9" ht="15.75" customHeight="1">
      <c r="E681" s="51"/>
      <c r="F681" s="51"/>
      <c r="G681" s="51"/>
      <c r="H681" s="51"/>
      <c r="I681" s="51"/>
    </row>
    <row r="682" spans="5:9" ht="15.75" customHeight="1">
      <c r="E682" s="51"/>
      <c r="F682" s="51"/>
      <c r="G682" s="51"/>
      <c r="H682" s="51"/>
      <c r="I682" s="51"/>
    </row>
    <row r="683" spans="5:9" ht="15.75" customHeight="1">
      <c r="E683" s="51"/>
      <c r="F683" s="51"/>
      <c r="G683" s="51"/>
      <c r="H683" s="51"/>
      <c r="I683" s="51"/>
    </row>
    <row r="684" spans="5:9" ht="15.75" customHeight="1">
      <c r="E684" s="51"/>
      <c r="F684" s="51"/>
      <c r="G684" s="51"/>
      <c r="H684" s="51"/>
      <c r="I684" s="51"/>
    </row>
    <row r="685" spans="5:9" ht="15.75" customHeight="1">
      <c r="E685" s="51"/>
      <c r="F685" s="51"/>
      <c r="G685" s="51"/>
      <c r="H685" s="51"/>
      <c r="I685" s="51"/>
    </row>
    <row r="686" spans="5:9" ht="15.75" customHeight="1">
      <c r="E686" s="51"/>
      <c r="F686" s="51"/>
      <c r="G686" s="51"/>
      <c r="H686" s="51"/>
      <c r="I686" s="51"/>
    </row>
    <row r="687" spans="5:9" ht="15.75" customHeight="1">
      <c r="E687" s="51"/>
      <c r="F687" s="51"/>
      <c r="G687" s="51"/>
      <c r="H687" s="51"/>
      <c r="I687" s="51"/>
    </row>
    <row r="688" spans="5:9" ht="15.75" customHeight="1">
      <c r="E688" s="51"/>
      <c r="F688" s="51"/>
      <c r="G688" s="51"/>
      <c r="H688" s="51"/>
      <c r="I688" s="51"/>
    </row>
    <row r="689" spans="5:9" ht="15.75" customHeight="1">
      <c r="E689" s="51"/>
      <c r="F689" s="51"/>
      <c r="G689" s="51"/>
      <c r="H689" s="51"/>
      <c r="I689" s="51"/>
    </row>
    <row r="690" spans="5:9" ht="15.75" customHeight="1">
      <c r="E690" s="51"/>
      <c r="F690" s="51"/>
      <c r="G690" s="51"/>
      <c r="H690" s="51"/>
      <c r="I690" s="51"/>
    </row>
    <row r="691" spans="5:9" ht="15.75" customHeight="1">
      <c r="E691" s="51"/>
      <c r="F691" s="51"/>
      <c r="G691" s="51"/>
      <c r="H691" s="51"/>
      <c r="I691" s="51"/>
    </row>
    <row r="692" spans="5:9" ht="15.75" customHeight="1">
      <c r="E692" s="51"/>
      <c r="F692" s="51"/>
      <c r="G692" s="51"/>
      <c r="H692" s="51"/>
      <c r="I692" s="51"/>
    </row>
    <row r="693" spans="5:9" ht="15.75" customHeight="1">
      <c r="E693" s="51"/>
      <c r="F693" s="51"/>
      <c r="G693" s="51"/>
      <c r="H693" s="51"/>
      <c r="I693" s="51"/>
    </row>
    <row r="694" spans="5:9" ht="15.75" customHeight="1">
      <c r="E694" s="51"/>
      <c r="F694" s="51"/>
      <c r="G694" s="51"/>
      <c r="H694" s="51"/>
      <c r="I694" s="51"/>
    </row>
    <row r="695" spans="5:9" ht="15.75" customHeight="1">
      <c r="E695" s="51"/>
      <c r="F695" s="51"/>
      <c r="G695" s="51"/>
      <c r="H695" s="51"/>
      <c r="I695" s="51"/>
    </row>
    <row r="696" spans="5:9" ht="15.75" customHeight="1">
      <c r="E696" s="51"/>
      <c r="F696" s="51"/>
      <c r="G696" s="51"/>
      <c r="H696" s="51"/>
      <c r="I696" s="51"/>
    </row>
    <row r="697" spans="5:9" ht="15.75" customHeight="1">
      <c r="E697" s="51"/>
      <c r="F697" s="51"/>
      <c r="G697" s="51"/>
      <c r="H697" s="51"/>
      <c r="I697" s="51"/>
    </row>
    <row r="698" spans="5:9" ht="15.75" customHeight="1">
      <c r="E698" s="51"/>
      <c r="F698" s="51"/>
      <c r="G698" s="51"/>
      <c r="H698" s="51"/>
      <c r="I698" s="51"/>
    </row>
    <row r="699" spans="5:9" ht="15.75" customHeight="1">
      <c r="E699" s="51"/>
      <c r="F699" s="51"/>
      <c r="G699" s="51"/>
      <c r="H699" s="51"/>
      <c r="I699" s="51"/>
    </row>
    <row r="700" spans="5:9" ht="15.75" customHeight="1">
      <c r="E700" s="51"/>
      <c r="F700" s="51"/>
      <c r="G700" s="51"/>
      <c r="H700" s="51"/>
      <c r="I700" s="51"/>
    </row>
    <row r="701" spans="5:9" ht="15.75" customHeight="1">
      <c r="E701" s="51"/>
      <c r="F701" s="51"/>
      <c r="G701" s="51"/>
      <c r="H701" s="51"/>
      <c r="I701" s="51"/>
    </row>
    <row r="702" spans="5:9" ht="15.75" customHeight="1">
      <c r="E702" s="51"/>
      <c r="F702" s="51"/>
      <c r="G702" s="51"/>
      <c r="H702" s="51"/>
      <c r="I702" s="51"/>
    </row>
    <row r="703" spans="5:9" ht="15.75" customHeight="1">
      <c r="E703" s="51"/>
      <c r="F703" s="51"/>
      <c r="G703" s="51"/>
      <c r="H703" s="51"/>
      <c r="I703" s="51"/>
    </row>
    <row r="704" spans="5:9" ht="15.75" customHeight="1">
      <c r="E704" s="51"/>
      <c r="F704" s="51"/>
      <c r="G704" s="51"/>
      <c r="H704" s="51"/>
      <c r="I704" s="51"/>
    </row>
    <row r="705" spans="5:9" ht="15.75" customHeight="1">
      <c r="E705" s="51"/>
      <c r="F705" s="51"/>
      <c r="G705" s="51"/>
      <c r="H705" s="51"/>
      <c r="I705" s="51"/>
    </row>
    <row r="706" spans="5:9" ht="15.75" customHeight="1">
      <c r="E706" s="51"/>
      <c r="F706" s="51"/>
      <c r="G706" s="51"/>
      <c r="H706" s="51"/>
      <c r="I706" s="51"/>
    </row>
    <row r="707" spans="5:9" ht="15.75" customHeight="1">
      <c r="E707" s="51"/>
      <c r="F707" s="51"/>
      <c r="G707" s="51"/>
      <c r="H707" s="51"/>
      <c r="I707" s="51"/>
    </row>
    <row r="708" spans="5:9" ht="15.75" customHeight="1">
      <c r="E708" s="51"/>
      <c r="F708" s="51"/>
      <c r="G708" s="51"/>
      <c r="H708" s="51"/>
      <c r="I708" s="51"/>
    </row>
    <row r="709" spans="5:9" ht="15.75" customHeight="1">
      <c r="E709" s="51"/>
      <c r="F709" s="51"/>
      <c r="G709" s="51"/>
      <c r="H709" s="51"/>
      <c r="I709" s="51"/>
    </row>
    <row r="710" spans="5:9" ht="15.75" customHeight="1">
      <c r="E710" s="51"/>
      <c r="F710" s="51"/>
      <c r="G710" s="51"/>
      <c r="H710" s="51"/>
      <c r="I710" s="51"/>
    </row>
    <row r="711" spans="5:9" ht="15.75" customHeight="1">
      <c r="E711" s="51"/>
      <c r="F711" s="51"/>
      <c r="G711" s="51"/>
      <c r="H711" s="51"/>
      <c r="I711" s="51"/>
    </row>
    <row r="712" spans="5:9" ht="15.75" customHeight="1">
      <c r="E712" s="51"/>
      <c r="F712" s="51"/>
      <c r="G712" s="51"/>
      <c r="H712" s="51"/>
      <c r="I712" s="51"/>
    </row>
    <row r="713" spans="5:9" ht="15.75" customHeight="1">
      <c r="E713" s="51"/>
      <c r="F713" s="51"/>
      <c r="G713" s="51"/>
      <c r="H713" s="51"/>
      <c r="I713" s="51"/>
    </row>
    <row r="714" spans="5:9" ht="15.75" customHeight="1">
      <c r="E714" s="51"/>
      <c r="F714" s="51"/>
      <c r="G714" s="51"/>
      <c r="H714" s="51"/>
      <c r="I714" s="51"/>
    </row>
    <row r="715" spans="5:9" ht="15.75" customHeight="1">
      <c r="E715" s="51"/>
      <c r="F715" s="51"/>
      <c r="G715" s="51"/>
      <c r="H715" s="51"/>
      <c r="I715" s="51"/>
    </row>
    <row r="716" spans="5:9" ht="15.75" customHeight="1">
      <c r="E716" s="51"/>
      <c r="F716" s="51"/>
      <c r="G716" s="51"/>
      <c r="H716" s="51"/>
      <c r="I716" s="51"/>
    </row>
    <row r="717" spans="5:9" ht="15.75" customHeight="1">
      <c r="E717" s="51"/>
      <c r="F717" s="51"/>
      <c r="G717" s="51"/>
      <c r="H717" s="51"/>
      <c r="I717" s="51"/>
    </row>
    <row r="718" spans="5:9" ht="15.75" customHeight="1">
      <c r="E718" s="51"/>
      <c r="F718" s="51"/>
      <c r="G718" s="51"/>
      <c r="H718" s="51"/>
      <c r="I718" s="51"/>
    </row>
    <row r="719" spans="5:9" ht="15.75" customHeight="1">
      <c r="E719" s="51"/>
      <c r="F719" s="51"/>
      <c r="G719" s="51"/>
      <c r="H719" s="51"/>
      <c r="I719" s="51"/>
    </row>
    <row r="720" spans="5:9" ht="15.75" customHeight="1">
      <c r="E720" s="51"/>
      <c r="F720" s="51"/>
      <c r="G720" s="51"/>
      <c r="H720" s="51"/>
      <c r="I720" s="51"/>
    </row>
    <row r="721" spans="5:9" ht="15.75" customHeight="1">
      <c r="E721" s="51"/>
      <c r="F721" s="51"/>
      <c r="G721" s="51"/>
      <c r="H721" s="51"/>
      <c r="I721" s="51"/>
    </row>
    <row r="722" spans="5:9" ht="15.75" customHeight="1">
      <c r="E722" s="51"/>
      <c r="F722" s="51"/>
      <c r="G722" s="51"/>
      <c r="H722" s="51"/>
      <c r="I722" s="51"/>
    </row>
    <row r="723" spans="5:9" ht="15.75" customHeight="1">
      <c r="E723" s="51"/>
      <c r="F723" s="51"/>
      <c r="G723" s="51"/>
      <c r="H723" s="51"/>
      <c r="I723" s="51"/>
    </row>
    <row r="724" spans="5:9" ht="15.75" customHeight="1">
      <c r="E724" s="51"/>
      <c r="F724" s="51"/>
      <c r="G724" s="51"/>
      <c r="H724" s="51"/>
      <c r="I724" s="51"/>
    </row>
    <row r="725" spans="5:9" ht="15.75" customHeight="1">
      <c r="E725" s="51"/>
      <c r="F725" s="51"/>
      <c r="G725" s="51"/>
      <c r="H725" s="51"/>
      <c r="I725" s="51"/>
    </row>
    <row r="726" spans="5:9" ht="15.75" customHeight="1">
      <c r="E726" s="51"/>
      <c r="F726" s="51"/>
      <c r="G726" s="51"/>
      <c r="H726" s="51"/>
      <c r="I726" s="51"/>
    </row>
    <row r="727" spans="5:9" ht="15.75" customHeight="1">
      <c r="E727" s="51"/>
      <c r="F727" s="51"/>
      <c r="G727" s="51"/>
      <c r="H727" s="51"/>
      <c r="I727" s="51"/>
    </row>
    <row r="728" spans="5:9" ht="15.75" customHeight="1">
      <c r="E728" s="51"/>
      <c r="F728" s="51"/>
      <c r="G728" s="51"/>
      <c r="H728" s="51"/>
      <c r="I728" s="51"/>
    </row>
    <row r="729" spans="5:9" ht="15.75" customHeight="1">
      <c r="E729" s="51"/>
      <c r="F729" s="51"/>
      <c r="G729" s="51"/>
      <c r="H729" s="51"/>
      <c r="I729" s="51"/>
    </row>
    <row r="730" spans="5:9" ht="15.75" customHeight="1">
      <c r="E730" s="51"/>
      <c r="F730" s="51"/>
      <c r="G730" s="51"/>
      <c r="H730" s="51"/>
      <c r="I730" s="51"/>
    </row>
    <row r="731" spans="5:9" ht="15.75" customHeight="1">
      <c r="E731" s="51"/>
      <c r="F731" s="51"/>
      <c r="G731" s="51"/>
      <c r="H731" s="51"/>
      <c r="I731" s="51"/>
    </row>
    <row r="732" spans="5:9" ht="15.75" customHeight="1">
      <c r="E732" s="51"/>
      <c r="F732" s="51"/>
      <c r="G732" s="51"/>
      <c r="H732" s="51"/>
      <c r="I732" s="51"/>
    </row>
    <row r="733" spans="5:9" ht="15.75" customHeight="1">
      <c r="E733" s="51"/>
      <c r="F733" s="51"/>
      <c r="G733" s="51"/>
      <c r="H733" s="51"/>
      <c r="I733" s="51"/>
    </row>
    <row r="734" spans="5:9" ht="15.75" customHeight="1">
      <c r="E734" s="51"/>
      <c r="F734" s="51"/>
      <c r="G734" s="51"/>
      <c r="H734" s="51"/>
      <c r="I734" s="51"/>
    </row>
    <row r="735" spans="5:9" ht="15.75" customHeight="1">
      <c r="E735" s="51"/>
      <c r="F735" s="51"/>
      <c r="G735" s="51"/>
      <c r="H735" s="51"/>
      <c r="I735" s="51"/>
    </row>
    <row r="736" spans="5:9" ht="15.75" customHeight="1">
      <c r="E736" s="51"/>
      <c r="F736" s="51"/>
      <c r="G736" s="51"/>
      <c r="H736" s="51"/>
      <c r="I736" s="51"/>
    </row>
    <row r="737" spans="5:9" ht="15.75" customHeight="1">
      <c r="E737" s="51"/>
      <c r="F737" s="51"/>
      <c r="G737" s="51"/>
      <c r="H737" s="51"/>
      <c r="I737" s="51"/>
    </row>
    <row r="738" spans="5:9" ht="15.75" customHeight="1">
      <c r="E738" s="51"/>
      <c r="F738" s="51"/>
      <c r="G738" s="51"/>
      <c r="H738" s="51"/>
      <c r="I738" s="51"/>
    </row>
    <row r="739" spans="5:9" ht="15.75" customHeight="1">
      <c r="E739" s="51"/>
      <c r="F739" s="51"/>
      <c r="G739" s="51"/>
      <c r="H739" s="51"/>
      <c r="I739" s="51"/>
    </row>
    <row r="740" spans="5:9" ht="15.75" customHeight="1">
      <c r="E740" s="51"/>
      <c r="F740" s="51"/>
      <c r="G740" s="51"/>
      <c r="H740" s="51"/>
      <c r="I740" s="51"/>
    </row>
    <row r="741" spans="5:9" ht="15.75" customHeight="1">
      <c r="E741" s="51"/>
      <c r="F741" s="51"/>
      <c r="G741" s="51"/>
      <c r="H741" s="51"/>
      <c r="I741" s="51"/>
    </row>
    <row r="742" spans="5:9" ht="15.75" customHeight="1">
      <c r="E742" s="51"/>
      <c r="F742" s="51"/>
      <c r="G742" s="51"/>
      <c r="H742" s="51"/>
      <c r="I742" s="51"/>
    </row>
    <row r="743" spans="5:9" ht="15.75" customHeight="1">
      <c r="E743" s="51"/>
      <c r="F743" s="51"/>
      <c r="G743" s="51"/>
      <c r="H743" s="51"/>
      <c r="I743" s="51"/>
    </row>
    <row r="744" spans="5:9" ht="15.75" customHeight="1">
      <c r="E744" s="51"/>
      <c r="F744" s="51"/>
      <c r="G744" s="51"/>
      <c r="H744" s="51"/>
      <c r="I744" s="51"/>
    </row>
    <row r="745" spans="5:9" ht="15.75" customHeight="1">
      <c r="E745" s="51"/>
      <c r="F745" s="51"/>
      <c r="G745" s="51"/>
      <c r="H745" s="51"/>
      <c r="I745" s="51"/>
    </row>
    <row r="746" spans="5:9" ht="15.75" customHeight="1">
      <c r="E746" s="51"/>
      <c r="F746" s="51"/>
      <c r="G746" s="51"/>
      <c r="H746" s="51"/>
      <c r="I746" s="51"/>
    </row>
    <row r="747" spans="5:9" ht="15.75" customHeight="1">
      <c r="E747" s="51"/>
      <c r="F747" s="51"/>
      <c r="G747" s="51"/>
      <c r="H747" s="51"/>
      <c r="I747" s="51"/>
    </row>
    <row r="748" spans="5:9" ht="15.75" customHeight="1">
      <c r="E748" s="51"/>
      <c r="F748" s="51"/>
      <c r="G748" s="51"/>
      <c r="H748" s="51"/>
      <c r="I748" s="51"/>
    </row>
    <row r="749" spans="5:9" ht="15.75" customHeight="1">
      <c r="E749" s="51"/>
      <c r="F749" s="51"/>
      <c r="G749" s="51"/>
      <c r="H749" s="51"/>
      <c r="I749" s="51"/>
    </row>
    <row r="750" spans="5:9" ht="15.75" customHeight="1">
      <c r="E750" s="51"/>
      <c r="F750" s="51"/>
      <c r="G750" s="51"/>
      <c r="H750" s="51"/>
      <c r="I750" s="51"/>
    </row>
    <row r="751" spans="5:9" ht="15.75" customHeight="1">
      <c r="E751" s="51"/>
      <c r="F751" s="51"/>
      <c r="G751" s="51"/>
      <c r="H751" s="51"/>
      <c r="I751" s="51"/>
    </row>
    <row r="752" spans="5:9" ht="15.75" customHeight="1">
      <c r="E752" s="51"/>
      <c r="F752" s="51"/>
      <c r="G752" s="51"/>
      <c r="H752" s="51"/>
      <c r="I752" s="51"/>
    </row>
    <row r="753" spans="5:9" ht="15.75" customHeight="1">
      <c r="E753" s="51"/>
      <c r="F753" s="51"/>
      <c r="G753" s="51"/>
      <c r="H753" s="51"/>
      <c r="I753" s="51"/>
    </row>
    <row r="754" spans="5:9" ht="15.75" customHeight="1">
      <c r="E754" s="51"/>
      <c r="F754" s="51"/>
      <c r="G754" s="51"/>
      <c r="H754" s="51"/>
      <c r="I754" s="51"/>
    </row>
    <row r="755" spans="5:9" ht="15.75" customHeight="1">
      <c r="E755" s="51"/>
      <c r="F755" s="51"/>
      <c r="G755" s="51"/>
      <c r="H755" s="51"/>
      <c r="I755" s="51"/>
    </row>
    <row r="756" spans="5:9" ht="15.75" customHeight="1">
      <c r="E756" s="51"/>
      <c r="F756" s="51"/>
      <c r="G756" s="51"/>
      <c r="H756" s="51"/>
      <c r="I756" s="51"/>
    </row>
    <row r="757" spans="5:9" ht="15.75" customHeight="1">
      <c r="E757" s="51"/>
      <c r="F757" s="51"/>
      <c r="G757" s="51"/>
      <c r="H757" s="51"/>
      <c r="I757" s="51"/>
    </row>
    <row r="758" spans="5:9" ht="15.75" customHeight="1">
      <c r="E758" s="51"/>
      <c r="F758" s="51"/>
      <c r="G758" s="51"/>
      <c r="H758" s="51"/>
      <c r="I758" s="51"/>
    </row>
    <row r="759" spans="5:9" ht="15.75" customHeight="1">
      <c r="E759" s="51"/>
      <c r="F759" s="51"/>
      <c r="G759" s="51"/>
      <c r="H759" s="51"/>
      <c r="I759" s="51"/>
    </row>
    <row r="760" spans="5:9" ht="15.75" customHeight="1">
      <c r="E760" s="51"/>
      <c r="F760" s="51"/>
      <c r="G760" s="51"/>
      <c r="H760" s="51"/>
      <c r="I760" s="51"/>
    </row>
    <row r="761" spans="5:9" ht="15.75" customHeight="1">
      <c r="E761" s="51"/>
      <c r="F761" s="51"/>
      <c r="G761" s="51"/>
      <c r="H761" s="51"/>
      <c r="I761" s="51"/>
    </row>
    <row r="762" spans="5:9" ht="15.75" customHeight="1">
      <c r="E762" s="51"/>
      <c r="F762" s="51"/>
      <c r="G762" s="51"/>
      <c r="H762" s="51"/>
      <c r="I762" s="51"/>
    </row>
    <row r="763" spans="5:9" ht="15.75" customHeight="1">
      <c r="E763" s="51"/>
      <c r="F763" s="51"/>
      <c r="G763" s="51"/>
      <c r="H763" s="51"/>
      <c r="I763" s="51"/>
    </row>
    <row r="764" spans="5:9" ht="15.75" customHeight="1">
      <c r="E764" s="51"/>
      <c r="F764" s="51"/>
      <c r="G764" s="51"/>
      <c r="H764" s="51"/>
      <c r="I764" s="51"/>
    </row>
    <row r="765" spans="5:9" ht="15.75" customHeight="1">
      <c r="E765" s="51"/>
      <c r="F765" s="51"/>
      <c r="G765" s="51"/>
      <c r="H765" s="51"/>
      <c r="I765" s="51"/>
    </row>
    <row r="766" spans="5:9" ht="15.75" customHeight="1">
      <c r="E766" s="51"/>
      <c r="F766" s="51"/>
      <c r="G766" s="51"/>
      <c r="H766" s="51"/>
      <c r="I766" s="51"/>
    </row>
    <row r="767" spans="5:9" ht="15.75" customHeight="1">
      <c r="E767" s="51"/>
      <c r="F767" s="51"/>
      <c r="G767" s="51"/>
      <c r="H767" s="51"/>
      <c r="I767" s="51"/>
    </row>
    <row r="768" spans="5:9" ht="15.75" customHeight="1">
      <c r="E768" s="51"/>
      <c r="F768" s="51"/>
      <c r="G768" s="51"/>
      <c r="H768" s="51"/>
      <c r="I768" s="51"/>
    </row>
    <row r="769" spans="5:9" ht="15.75" customHeight="1">
      <c r="E769" s="51"/>
      <c r="F769" s="51"/>
      <c r="G769" s="51"/>
      <c r="H769" s="51"/>
      <c r="I769" s="51"/>
    </row>
    <row r="770" spans="5:9" ht="15.75" customHeight="1">
      <c r="E770" s="51"/>
      <c r="F770" s="51"/>
      <c r="G770" s="51"/>
      <c r="H770" s="51"/>
      <c r="I770" s="51"/>
    </row>
    <row r="771" spans="5:9" ht="15.75" customHeight="1">
      <c r="E771" s="51"/>
      <c r="F771" s="51"/>
      <c r="G771" s="51"/>
      <c r="H771" s="51"/>
      <c r="I771" s="51"/>
    </row>
    <row r="772" spans="5:9" ht="15.75" customHeight="1">
      <c r="E772" s="51"/>
      <c r="F772" s="51"/>
      <c r="G772" s="51"/>
      <c r="H772" s="51"/>
      <c r="I772" s="51"/>
    </row>
    <row r="773" spans="5:9" ht="15.75" customHeight="1">
      <c r="E773" s="51"/>
      <c r="F773" s="51"/>
      <c r="G773" s="51"/>
      <c r="H773" s="51"/>
      <c r="I773" s="51"/>
    </row>
    <row r="774" spans="5:9" ht="15.75" customHeight="1">
      <c r="E774" s="51"/>
      <c r="F774" s="51"/>
      <c r="G774" s="51"/>
      <c r="H774" s="51"/>
      <c r="I774" s="51"/>
    </row>
    <row r="775" spans="5:9" ht="15.75" customHeight="1">
      <c r="E775" s="51"/>
      <c r="F775" s="51"/>
      <c r="G775" s="51"/>
      <c r="H775" s="51"/>
      <c r="I775" s="51"/>
    </row>
    <row r="776" spans="5:9" ht="15.75" customHeight="1">
      <c r="E776" s="51"/>
      <c r="F776" s="51"/>
      <c r="G776" s="51"/>
      <c r="H776" s="51"/>
      <c r="I776" s="51"/>
    </row>
    <row r="777" spans="5:9" ht="15.75" customHeight="1">
      <c r="E777" s="51"/>
      <c r="F777" s="51"/>
      <c r="G777" s="51"/>
      <c r="H777" s="51"/>
      <c r="I777" s="51"/>
    </row>
    <row r="778" spans="5:9" ht="15.75" customHeight="1">
      <c r="E778" s="51"/>
      <c r="F778" s="51"/>
      <c r="G778" s="51"/>
      <c r="H778" s="51"/>
      <c r="I778" s="51"/>
    </row>
    <row r="779" spans="5:9" ht="15.75" customHeight="1">
      <c r="E779" s="51"/>
      <c r="F779" s="51"/>
      <c r="G779" s="51"/>
      <c r="H779" s="51"/>
      <c r="I779" s="51"/>
    </row>
    <row r="780" spans="5:9" ht="15.75" customHeight="1">
      <c r="E780" s="51"/>
      <c r="F780" s="51"/>
      <c r="G780" s="51"/>
      <c r="H780" s="51"/>
      <c r="I780" s="51"/>
    </row>
    <row r="781" spans="5:9" ht="15.75" customHeight="1">
      <c r="E781" s="51"/>
      <c r="F781" s="51"/>
      <c r="G781" s="51"/>
      <c r="H781" s="51"/>
      <c r="I781" s="51"/>
    </row>
    <row r="782" spans="5:9" ht="15.75" customHeight="1">
      <c r="E782" s="51"/>
      <c r="F782" s="51"/>
      <c r="G782" s="51"/>
      <c r="H782" s="51"/>
      <c r="I782" s="51"/>
    </row>
    <row r="783" spans="5:9" ht="15.75" customHeight="1">
      <c r="E783" s="51"/>
      <c r="F783" s="51"/>
      <c r="G783" s="51"/>
      <c r="H783" s="51"/>
      <c r="I783" s="51"/>
    </row>
    <row r="784" spans="5:9" ht="15.75" customHeight="1">
      <c r="E784" s="51"/>
      <c r="F784" s="51"/>
      <c r="G784" s="51"/>
      <c r="H784" s="51"/>
      <c r="I784" s="51"/>
    </row>
    <row r="785" spans="5:9" ht="15.75" customHeight="1">
      <c r="E785" s="51"/>
      <c r="F785" s="51"/>
      <c r="G785" s="51"/>
      <c r="H785" s="51"/>
      <c r="I785" s="51"/>
    </row>
    <row r="786" spans="5:9" ht="15.75" customHeight="1">
      <c r="E786" s="51"/>
      <c r="F786" s="51"/>
      <c r="G786" s="51"/>
      <c r="H786" s="51"/>
      <c r="I786" s="51"/>
    </row>
    <row r="787" spans="5:9" ht="15.75" customHeight="1">
      <c r="E787" s="51"/>
      <c r="F787" s="51"/>
      <c r="G787" s="51"/>
      <c r="H787" s="51"/>
      <c r="I787" s="51"/>
    </row>
    <row r="788" spans="5:9" ht="15.75" customHeight="1">
      <c r="E788" s="51"/>
      <c r="F788" s="51"/>
      <c r="G788" s="51"/>
      <c r="H788" s="51"/>
      <c r="I788" s="51"/>
    </row>
    <row r="789" spans="5:9" ht="15.75" customHeight="1">
      <c r="E789" s="51"/>
      <c r="F789" s="51"/>
      <c r="G789" s="51"/>
      <c r="H789" s="51"/>
      <c r="I789" s="51"/>
    </row>
    <row r="790" spans="5:9" ht="15.75" customHeight="1">
      <c r="E790" s="51"/>
      <c r="F790" s="51"/>
      <c r="G790" s="51"/>
      <c r="H790" s="51"/>
      <c r="I790" s="51"/>
    </row>
    <row r="791" spans="5:9" ht="15.75" customHeight="1">
      <c r="E791" s="51"/>
      <c r="F791" s="51"/>
      <c r="G791" s="51"/>
      <c r="H791" s="51"/>
      <c r="I791" s="51"/>
    </row>
    <row r="792" spans="5:9" ht="15.75" customHeight="1">
      <c r="E792" s="51"/>
      <c r="F792" s="51"/>
      <c r="G792" s="51"/>
      <c r="H792" s="51"/>
      <c r="I792" s="51"/>
    </row>
    <row r="793" spans="5:9" ht="15.75" customHeight="1">
      <c r="E793" s="51"/>
      <c r="F793" s="51"/>
      <c r="G793" s="51"/>
      <c r="H793" s="51"/>
      <c r="I793" s="51"/>
    </row>
    <row r="794" spans="5:9" ht="15.75" customHeight="1">
      <c r="E794" s="51"/>
      <c r="F794" s="51"/>
      <c r="G794" s="51"/>
      <c r="H794" s="51"/>
      <c r="I794" s="51"/>
    </row>
    <row r="795" spans="5:9" ht="15.75" customHeight="1">
      <c r="E795" s="51"/>
      <c r="F795" s="51"/>
      <c r="G795" s="51"/>
      <c r="H795" s="51"/>
      <c r="I795" s="51"/>
    </row>
    <row r="796" spans="5:9" ht="15.75" customHeight="1">
      <c r="E796" s="51"/>
      <c r="F796" s="51"/>
      <c r="G796" s="51"/>
      <c r="H796" s="51"/>
      <c r="I796" s="51"/>
    </row>
    <row r="797" spans="5:9" ht="15.75" customHeight="1">
      <c r="E797" s="51"/>
      <c r="F797" s="51"/>
      <c r="G797" s="51"/>
      <c r="H797" s="51"/>
      <c r="I797" s="51"/>
    </row>
    <row r="798" spans="5:9" ht="15.75" customHeight="1">
      <c r="E798" s="51"/>
      <c r="F798" s="51"/>
      <c r="G798" s="51"/>
      <c r="H798" s="51"/>
      <c r="I798" s="51"/>
    </row>
    <row r="799" spans="5:9" ht="15.75" customHeight="1">
      <c r="E799" s="51"/>
      <c r="F799" s="51"/>
      <c r="G799" s="51"/>
      <c r="H799" s="51"/>
      <c r="I799" s="51"/>
    </row>
    <row r="800" spans="5:9" ht="15.75" customHeight="1">
      <c r="E800" s="51"/>
      <c r="F800" s="51"/>
      <c r="G800" s="51"/>
      <c r="H800" s="51"/>
      <c r="I800" s="51"/>
    </row>
    <row r="801" spans="5:9" ht="15.75" customHeight="1">
      <c r="E801" s="51"/>
      <c r="F801" s="51"/>
      <c r="G801" s="51"/>
      <c r="H801" s="51"/>
      <c r="I801" s="51"/>
    </row>
    <row r="802" spans="5:9" ht="15.75" customHeight="1">
      <c r="E802" s="51"/>
      <c r="F802" s="51"/>
      <c r="G802" s="51"/>
      <c r="H802" s="51"/>
      <c r="I802" s="51"/>
    </row>
    <row r="803" spans="5:9" ht="15.75" customHeight="1">
      <c r="E803" s="51"/>
      <c r="F803" s="51"/>
      <c r="G803" s="51"/>
      <c r="H803" s="51"/>
      <c r="I803" s="51"/>
    </row>
    <row r="804" spans="5:9" ht="15.75" customHeight="1">
      <c r="E804" s="51"/>
      <c r="F804" s="51"/>
      <c r="G804" s="51"/>
      <c r="H804" s="51"/>
      <c r="I804" s="51"/>
    </row>
    <row r="805" spans="5:9" ht="15.75" customHeight="1">
      <c r="E805" s="51"/>
      <c r="F805" s="51"/>
      <c r="G805" s="51"/>
      <c r="H805" s="51"/>
      <c r="I805" s="51"/>
    </row>
    <row r="806" spans="5:9" ht="15.75" customHeight="1">
      <c r="E806" s="51"/>
      <c r="F806" s="51"/>
      <c r="G806" s="51"/>
      <c r="H806" s="51"/>
      <c r="I806" s="51"/>
    </row>
    <row r="807" spans="5:9" ht="15.75" customHeight="1">
      <c r="E807" s="51"/>
      <c r="F807" s="51"/>
      <c r="G807" s="51"/>
      <c r="H807" s="51"/>
      <c r="I807" s="51"/>
    </row>
    <row r="808" spans="5:9" ht="15.75" customHeight="1">
      <c r="E808" s="51"/>
      <c r="F808" s="51"/>
      <c r="G808" s="51"/>
      <c r="H808" s="51"/>
      <c r="I808" s="51"/>
    </row>
    <row r="809" spans="5:9" ht="15.75" customHeight="1">
      <c r="E809" s="51"/>
      <c r="F809" s="51"/>
      <c r="G809" s="51"/>
      <c r="H809" s="51"/>
      <c r="I809" s="51"/>
    </row>
    <row r="810" spans="5:9" ht="15.75" customHeight="1">
      <c r="E810" s="51"/>
      <c r="F810" s="51"/>
      <c r="G810" s="51"/>
      <c r="H810" s="51"/>
      <c r="I810" s="51"/>
    </row>
    <row r="811" spans="5:9" ht="15.75" customHeight="1">
      <c r="E811" s="51"/>
      <c r="F811" s="51"/>
      <c r="G811" s="51"/>
      <c r="H811" s="51"/>
      <c r="I811" s="51"/>
    </row>
    <row r="812" spans="5:9" ht="15.75" customHeight="1">
      <c r="E812" s="51"/>
      <c r="F812" s="51"/>
      <c r="G812" s="51"/>
      <c r="H812" s="51"/>
      <c r="I812" s="51"/>
    </row>
    <row r="813" spans="5:9" ht="15.75" customHeight="1">
      <c r="E813" s="51"/>
      <c r="F813" s="51"/>
      <c r="G813" s="51"/>
      <c r="H813" s="51"/>
      <c r="I813" s="51"/>
    </row>
    <row r="814" spans="5:9" ht="15.75" customHeight="1">
      <c r="E814" s="51"/>
      <c r="F814" s="51"/>
      <c r="G814" s="51"/>
      <c r="H814" s="51"/>
      <c r="I814" s="51"/>
    </row>
    <row r="815" spans="5:9" ht="15.75" customHeight="1">
      <c r="E815" s="51"/>
      <c r="F815" s="51"/>
      <c r="G815" s="51"/>
      <c r="H815" s="51"/>
      <c r="I815" s="51"/>
    </row>
    <row r="816" spans="5:9" ht="15.75" customHeight="1">
      <c r="E816" s="51"/>
      <c r="F816" s="51"/>
      <c r="G816" s="51"/>
      <c r="H816" s="51"/>
      <c r="I816" s="51"/>
    </row>
    <row r="817" spans="5:9" ht="15.75" customHeight="1">
      <c r="E817" s="51"/>
      <c r="F817" s="51"/>
      <c r="G817" s="51"/>
      <c r="H817" s="51"/>
      <c r="I817" s="51"/>
    </row>
    <row r="818" spans="5:9" ht="15.75" customHeight="1">
      <c r="E818" s="51"/>
      <c r="F818" s="51"/>
      <c r="G818" s="51"/>
      <c r="H818" s="51"/>
      <c r="I818" s="51"/>
    </row>
    <row r="819" spans="5:9" ht="15.75" customHeight="1">
      <c r="E819" s="51"/>
      <c r="F819" s="51"/>
      <c r="G819" s="51"/>
      <c r="H819" s="51"/>
      <c r="I819" s="51"/>
    </row>
    <row r="820" spans="5:9" ht="15.75" customHeight="1">
      <c r="E820" s="51"/>
      <c r="F820" s="51"/>
      <c r="G820" s="51"/>
      <c r="H820" s="51"/>
      <c r="I820" s="51"/>
    </row>
    <row r="821" spans="5:9" ht="15.75" customHeight="1">
      <c r="E821" s="51"/>
      <c r="F821" s="51"/>
      <c r="G821" s="51"/>
      <c r="H821" s="51"/>
      <c r="I821" s="51"/>
    </row>
    <row r="822" spans="5:9" ht="15.75" customHeight="1">
      <c r="E822" s="51"/>
      <c r="F822" s="51"/>
      <c r="G822" s="51"/>
      <c r="H822" s="51"/>
      <c r="I822" s="51"/>
    </row>
    <row r="823" spans="5:9" ht="15.75" customHeight="1">
      <c r="E823" s="51"/>
      <c r="F823" s="51"/>
      <c r="G823" s="51"/>
      <c r="H823" s="51"/>
      <c r="I823" s="51"/>
    </row>
    <row r="824" spans="5:9" ht="15.75" customHeight="1">
      <c r="E824" s="51"/>
      <c r="F824" s="51"/>
      <c r="G824" s="51"/>
      <c r="H824" s="51"/>
      <c r="I824" s="51"/>
    </row>
    <row r="825" spans="5:9" ht="15.75" customHeight="1">
      <c r="E825" s="51"/>
      <c r="F825" s="51"/>
      <c r="G825" s="51"/>
      <c r="H825" s="51"/>
      <c r="I825" s="51"/>
    </row>
    <row r="826" spans="5:9" ht="15.75" customHeight="1">
      <c r="E826" s="51"/>
      <c r="F826" s="51"/>
      <c r="G826" s="51"/>
      <c r="H826" s="51"/>
      <c r="I826" s="51"/>
    </row>
    <row r="827" spans="5:9" ht="15.75" customHeight="1">
      <c r="E827" s="51"/>
      <c r="F827" s="51"/>
      <c r="G827" s="51"/>
      <c r="H827" s="51"/>
      <c r="I827" s="51"/>
    </row>
    <row r="828" spans="5:9" ht="15.75" customHeight="1">
      <c r="E828" s="51"/>
      <c r="F828" s="51"/>
      <c r="G828" s="51"/>
      <c r="H828" s="51"/>
      <c r="I828" s="51"/>
    </row>
    <row r="829" spans="5:9" ht="15.75" customHeight="1">
      <c r="E829" s="51"/>
      <c r="F829" s="51"/>
      <c r="G829" s="51"/>
      <c r="H829" s="51"/>
      <c r="I829" s="51"/>
    </row>
    <row r="830" spans="5:9" ht="15.75" customHeight="1">
      <c r="E830" s="51"/>
      <c r="F830" s="51"/>
      <c r="G830" s="51"/>
      <c r="H830" s="51"/>
      <c r="I830" s="51"/>
    </row>
    <row r="831" spans="5:9" ht="15.75" customHeight="1">
      <c r="E831" s="51"/>
      <c r="F831" s="51"/>
      <c r="G831" s="51"/>
      <c r="H831" s="51"/>
      <c r="I831" s="51"/>
    </row>
    <row r="832" spans="5:9" ht="15.75" customHeight="1">
      <c r="E832" s="51"/>
      <c r="F832" s="51"/>
      <c r="G832" s="51"/>
      <c r="H832" s="51"/>
      <c r="I832" s="51"/>
    </row>
    <row r="833" spans="5:9" ht="15.75" customHeight="1">
      <c r="E833" s="51"/>
      <c r="F833" s="51"/>
      <c r="G833" s="51"/>
      <c r="H833" s="51"/>
      <c r="I833" s="51"/>
    </row>
    <row r="834" spans="5:9" ht="15.75" customHeight="1">
      <c r="E834" s="51"/>
      <c r="F834" s="51"/>
      <c r="G834" s="51"/>
      <c r="H834" s="51"/>
      <c r="I834" s="51"/>
    </row>
    <row r="835" spans="5:9" ht="15.75" customHeight="1">
      <c r="E835" s="51"/>
      <c r="F835" s="51"/>
      <c r="G835" s="51"/>
      <c r="H835" s="51"/>
      <c r="I835" s="51"/>
    </row>
    <row r="836" spans="5:9" ht="15.75" customHeight="1">
      <c r="E836" s="51"/>
      <c r="F836" s="51"/>
      <c r="G836" s="51"/>
      <c r="H836" s="51"/>
      <c r="I836" s="51"/>
    </row>
    <row r="837" spans="5:9" ht="15.75" customHeight="1">
      <c r="E837" s="51"/>
      <c r="F837" s="51"/>
      <c r="G837" s="51"/>
      <c r="H837" s="51"/>
      <c r="I837" s="51"/>
    </row>
    <row r="838" spans="5:9" ht="15.75" customHeight="1">
      <c r="E838" s="51"/>
      <c r="F838" s="51"/>
      <c r="G838" s="51"/>
      <c r="H838" s="51"/>
      <c r="I838" s="51"/>
    </row>
    <row r="839" spans="5:9" ht="15.75" customHeight="1">
      <c r="E839" s="51"/>
      <c r="F839" s="51"/>
      <c r="G839" s="51"/>
      <c r="H839" s="51"/>
      <c r="I839" s="51"/>
    </row>
    <row r="840" spans="5:9" ht="15.75" customHeight="1">
      <c r="E840" s="51"/>
      <c r="F840" s="51"/>
      <c r="G840" s="51"/>
      <c r="H840" s="51"/>
      <c r="I840" s="51"/>
    </row>
    <row r="841" spans="5:9" ht="15.75" customHeight="1">
      <c r="E841" s="51"/>
      <c r="F841" s="51"/>
      <c r="G841" s="51"/>
      <c r="H841" s="51"/>
      <c r="I841" s="51"/>
    </row>
    <row r="842" spans="5:9" ht="15.75" customHeight="1">
      <c r="E842" s="51"/>
      <c r="F842" s="51"/>
      <c r="G842" s="51"/>
      <c r="H842" s="51"/>
      <c r="I842" s="51"/>
    </row>
    <row r="843" spans="5:9" ht="15.75" customHeight="1">
      <c r="E843" s="51"/>
      <c r="F843" s="51"/>
      <c r="G843" s="51"/>
      <c r="H843" s="51"/>
      <c r="I843" s="51"/>
    </row>
    <row r="844" spans="5:9" ht="15.75" customHeight="1">
      <c r="E844" s="51"/>
      <c r="F844" s="51"/>
      <c r="G844" s="51"/>
      <c r="H844" s="51"/>
      <c r="I844" s="51"/>
    </row>
    <row r="845" spans="5:9" ht="15.75" customHeight="1">
      <c r="E845" s="51"/>
      <c r="F845" s="51"/>
      <c r="G845" s="51"/>
      <c r="H845" s="51"/>
      <c r="I845" s="51"/>
    </row>
    <row r="846" spans="5:9" ht="15.75" customHeight="1">
      <c r="E846" s="51"/>
      <c r="F846" s="51"/>
      <c r="G846" s="51"/>
      <c r="H846" s="51"/>
      <c r="I846" s="51"/>
    </row>
    <row r="847" spans="5:9" ht="15.75" customHeight="1">
      <c r="E847" s="51"/>
      <c r="F847" s="51"/>
      <c r="G847" s="51"/>
      <c r="H847" s="51"/>
      <c r="I847" s="51"/>
    </row>
    <row r="848" spans="5:9" ht="15.75" customHeight="1">
      <c r="E848" s="51"/>
      <c r="F848" s="51"/>
      <c r="G848" s="51"/>
      <c r="H848" s="51"/>
      <c r="I848" s="51"/>
    </row>
    <row r="849" spans="5:9" ht="15.75" customHeight="1">
      <c r="E849" s="51"/>
      <c r="F849" s="51"/>
      <c r="G849" s="51"/>
      <c r="H849" s="51"/>
      <c r="I849" s="51"/>
    </row>
    <row r="850" spans="5:9" ht="15.75" customHeight="1">
      <c r="E850" s="51"/>
      <c r="F850" s="51"/>
      <c r="G850" s="51"/>
      <c r="H850" s="51"/>
      <c r="I850" s="51"/>
    </row>
    <row r="851" spans="5:9" ht="15.75" customHeight="1">
      <c r="E851" s="51"/>
      <c r="F851" s="51"/>
      <c r="G851" s="51"/>
      <c r="H851" s="51"/>
      <c r="I851" s="51"/>
    </row>
    <row r="852" spans="5:9" ht="15.75" customHeight="1">
      <c r="E852" s="51"/>
      <c r="F852" s="51"/>
      <c r="G852" s="51"/>
      <c r="H852" s="51"/>
      <c r="I852" s="51"/>
    </row>
    <row r="853" spans="5:9" ht="15.75" customHeight="1">
      <c r="E853" s="51"/>
      <c r="F853" s="51"/>
      <c r="G853" s="51"/>
      <c r="H853" s="51"/>
      <c r="I853" s="51"/>
    </row>
    <row r="854" spans="5:9" ht="15.75" customHeight="1">
      <c r="E854" s="51"/>
      <c r="F854" s="51"/>
      <c r="G854" s="51"/>
      <c r="H854" s="51"/>
      <c r="I854" s="51"/>
    </row>
    <row r="855" spans="5:9" ht="15.75" customHeight="1">
      <c r="E855" s="51"/>
      <c r="F855" s="51"/>
      <c r="G855" s="51"/>
      <c r="H855" s="51"/>
      <c r="I855" s="51"/>
    </row>
    <row r="856" spans="5:9" ht="15.75" customHeight="1">
      <c r="E856" s="51"/>
      <c r="F856" s="51"/>
      <c r="G856" s="51"/>
      <c r="H856" s="51"/>
      <c r="I856" s="51"/>
    </row>
    <row r="857" spans="5:9" ht="15.75" customHeight="1">
      <c r="E857" s="51"/>
      <c r="F857" s="51"/>
      <c r="G857" s="51"/>
      <c r="H857" s="51"/>
      <c r="I857" s="51"/>
    </row>
    <row r="858" spans="5:9" ht="15.75" customHeight="1">
      <c r="E858" s="51"/>
      <c r="F858" s="51"/>
      <c r="G858" s="51"/>
      <c r="H858" s="51"/>
      <c r="I858" s="51"/>
    </row>
    <row r="859" spans="5:9" ht="15.75" customHeight="1">
      <c r="E859" s="51"/>
      <c r="F859" s="51"/>
      <c r="G859" s="51"/>
      <c r="H859" s="51"/>
      <c r="I859" s="51"/>
    </row>
    <row r="860" spans="5:9" ht="15.75" customHeight="1">
      <c r="E860" s="51"/>
      <c r="F860" s="51"/>
      <c r="G860" s="51"/>
      <c r="H860" s="51"/>
      <c r="I860" s="51"/>
    </row>
    <row r="861" spans="5:9" ht="15.75" customHeight="1">
      <c r="E861" s="51"/>
      <c r="F861" s="51"/>
      <c r="G861" s="51"/>
      <c r="H861" s="51"/>
      <c r="I861" s="51"/>
    </row>
    <row r="862" spans="5:9" ht="15.75" customHeight="1">
      <c r="E862" s="51"/>
      <c r="F862" s="51"/>
      <c r="G862" s="51"/>
      <c r="H862" s="51"/>
      <c r="I862" s="51"/>
    </row>
    <row r="863" spans="5:9" ht="15.75" customHeight="1">
      <c r="E863" s="51"/>
      <c r="F863" s="51"/>
      <c r="G863" s="51"/>
      <c r="H863" s="51"/>
      <c r="I863" s="51"/>
    </row>
    <row r="864" spans="5:9" ht="15.75" customHeight="1">
      <c r="E864" s="51"/>
      <c r="F864" s="51"/>
      <c r="G864" s="51"/>
      <c r="H864" s="51"/>
      <c r="I864" s="51"/>
    </row>
    <row r="865" spans="5:9" ht="15.75" customHeight="1">
      <c r="E865" s="51"/>
      <c r="F865" s="51"/>
      <c r="G865" s="51"/>
      <c r="H865" s="51"/>
      <c r="I865" s="51"/>
    </row>
    <row r="866" spans="5:9" ht="15.75" customHeight="1">
      <c r="E866" s="51"/>
      <c r="F866" s="51"/>
      <c r="G866" s="51"/>
      <c r="H866" s="51"/>
      <c r="I866" s="51"/>
    </row>
    <row r="867" spans="5:9" ht="15.75" customHeight="1">
      <c r="E867" s="51"/>
      <c r="F867" s="51"/>
      <c r="G867" s="51"/>
      <c r="H867" s="51"/>
      <c r="I867" s="51"/>
    </row>
    <row r="868" spans="5:9" ht="15.75" customHeight="1">
      <c r="E868" s="51"/>
      <c r="F868" s="51"/>
      <c r="G868" s="51"/>
      <c r="H868" s="51"/>
      <c r="I868" s="51"/>
    </row>
    <row r="869" spans="5:9" ht="15.75" customHeight="1">
      <c r="E869" s="51"/>
      <c r="F869" s="51"/>
      <c r="G869" s="51"/>
      <c r="H869" s="51"/>
      <c r="I869" s="51"/>
    </row>
    <row r="870" spans="5:9" ht="15.75" customHeight="1">
      <c r="E870" s="51"/>
      <c r="F870" s="51"/>
      <c r="G870" s="51"/>
      <c r="H870" s="51"/>
      <c r="I870" s="51"/>
    </row>
    <row r="871" spans="5:9" ht="15.75" customHeight="1">
      <c r="E871" s="51"/>
      <c r="F871" s="51"/>
      <c r="G871" s="51"/>
      <c r="H871" s="51"/>
      <c r="I871" s="51"/>
    </row>
    <row r="872" spans="5:9" ht="15.75" customHeight="1">
      <c r="E872" s="51"/>
      <c r="F872" s="51"/>
      <c r="G872" s="51"/>
      <c r="H872" s="51"/>
      <c r="I872" s="51"/>
    </row>
    <row r="873" spans="5:9" ht="15.75" customHeight="1">
      <c r="E873" s="51"/>
      <c r="F873" s="51"/>
      <c r="G873" s="51"/>
      <c r="H873" s="51"/>
      <c r="I873" s="51"/>
    </row>
    <row r="874" spans="5:9" ht="15.75" customHeight="1">
      <c r="E874" s="51"/>
      <c r="F874" s="51"/>
      <c r="G874" s="51"/>
      <c r="H874" s="51"/>
      <c r="I874" s="51"/>
    </row>
    <row r="875" spans="5:9" ht="15.75" customHeight="1">
      <c r="E875" s="51"/>
      <c r="F875" s="51"/>
      <c r="G875" s="51"/>
      <c r="H875" s="51"/>
      <c r="I875" s="51"/>
    </row>
    <row r="876" spans="5:9" ht="15.75" customHeight="1">
      <c r="E876" s="51"/>
      <c r="F876" s="51"/>
      <c r="G876" s="51"/>
      <c r="H876" s="51"/>
      <c r="I876" s="51"/>
    </row>
    <row r="877" spans="5:9" ht="15.75" customHeight="1">
      <c r="E877" s="51"/>
      <c r="F877" s="51"/>
      <c r="G877" s="51"/>
      <c r="H877" s="51"/>
      <c r="I877" s="51"/>
    </row>
    <row r="878" spans="5:9" ht="15.75" customHeight="1">
      <c r="E878" s="51"/>
      <c r="F878" s="51"/>
      <c r="G878" s="51"/>
      <c r="H878" s="51"/>
      <c r="I878" s="51"/>
    </row>
    <row r="879" spans="5:9" ht="15.75" customHeight="1">
      <c r="E879" s="51"/>
      <c r="F879" s="51"/>
      <c r="G879" s="51"/>
      <c r="H879" s="51"/>
      <c r="I879" s="51"/>
    </row>
    <row r="880" spans="5:9" ht="15.75" customHeight="1">
      <c r="E880" s="51"/>
      <c r="F880" s="51"/>
      <c r="G880" s="51"/>
      <c r="H880" s="51"/>
      <c r="I880" s="51"/>
    </row>
    <row r="881" spans="5:9" ht="15.75" customHeight="1">
      <c r="E881" s="51"/>
      <c r="F881" s="51"/>
      <c r="G881" s="51"/>
      <c r="H881" s="51"/>
      <c r="I881" s="51"/>
    </row>
    <row r="882" spans="5:9" ht="15.75" customHeight="1">
      <c r="E882" s="51"/>
      <c r="F882" s="51"/>
      <c r="G882" s="51"/>
      <c r="H882" s="51"/>
      <c r="I882" s="51"/>
    </row>
    <row r="883" spans="5:9" ht="15.75" customHeight="1">
      <c r="E883" s="51"/>
      <c r="F883" s="51"/>
      <c r="G883" s="51"/>
      <c r="H883" s="51"/>
      <c r="I883" s="51"/>
    </row>
    <row r="884" spans="5:9" ht="15.75" customHeight="1">
      <c r="E884" s="51"/>
      <c r="F884" s="51"/>
      <c r="G884" s="51"/>
      <c r="H884" s="51"/>
      <c r="I884" s="51"/>
    </row>
    <row r="885" spans="5:9" ht="15.75" customHeight="1">
      <c r="E885" s="51"/>
      <c r="F885" s="51"/>
      <c r="G885" s="51"/>
      <c r="H885" s="51"/>
      <c r="I885" s="51"/>
    </row>
    <row r="886" spans="5:9" ht="15.75" customHeight="1">
      <c r="E886" s="51"/>
      <c r="F886" s="51"/>
      <c r="G886" s="51"/>
      <c r="H886" s="51"/>
      <c r="I886" s="51"/>
    </row>
    <row r="887" spans="5:9" ht="15.75" customHeight="1">
      <c r="E887" s="51"/>
      <c r="F887" s="51"/>
      <c r="G887" s="51"/>
      <c r="H887" s="51"/>
      <c r="I887" s="51"/>
    </row>
    <row r="888" spans="5:9" ht="15.75" customHeight="1">
      <c r="E888" s="51"/>
      <c r="F888" s="51"/>
      <c r="G888" s="51"/>
      <c r="H888" s="51"/>
      <c r="I888" s="51"/>
    </row>
    <row r="889" spans="5:9" ht="15.75" customHeight="1">
      <c r="E889" s="51"/>
      <c r="F889" s="51"/>
      <c r="G889" s="51"/>
      <c r="H889" s="51"/>
      <c r="I889" s="51"/>
    </row>
    <row r="890" spans="5:9" ht="15.75" customHeight="1">
      <c r="E890" s="51"/>
      <c r="F890" s="51"/>
      <c r="G890" s="51"/>
      <c r="H890" s="51"/>
      <c r="I890" s="51"/>
    </row>
    <row r="891" spans="5:9" ht="15.75" customHeight="1">
      <c r="E891" s="51"/>
      <c r="F891" s="51"/>
      <c r="G891" s="51"/>
      <c r="H891" s="51"/>
      <c r="I891" s="51"/>
    </row>
    <row r="892" spans="5:9" ht="15.75" customHeight="1">
      <c r="E892" s="51"/>
      <c r="F892" s="51"/>
      <c r="G892" s="51"/>
      <c r="H892" s="51"/>
      <c r="I892" s="51"/>
    </row>
    <row r="893" spans="5:9" ht="15.75" customHeight="1">
      <c r="E893" s="51"/>
      <c r="F893" s="51"/>
      <c r="G893" s="51"/>
      <c r="H893" s="51"/>
      <c r="I893" s="51"/>
    </row>
    <row r="894" spans="5:9" ht="15.75" customHeight="1">
      <c r="E894" s="51"/>
      <c r="F894" s="51"/>
      <c r="G894" s="51"/>
      <c r="H894" s="51"/>
      <c r="I894" s="51"/>
    </row>
    <row r="895" spans="5:9" ht="15.75" customHeight="1">
      <c r="E895" s="51"/>
      <c r="F895" s="51"/>
      <c r="G895" s="51"/>
      <c r="H895" s="51"/>
      <c r="I895" s="51"/>
    </row>
    <row r="896" spans="5:9" ht="15.75" customHeight="1">
      <c r="E896" s="51"/>
      <c r="F896" s="51"/>
      <c r="G896" s="51"/>
      <c r="H896" s="51"/>
      <c r="I896" s="51"/>
    </row>
    <row r="897" spans="5:9" ht="15.75" customHeight="1">
      <c r="E897" s="51"/>
      <c r="F897" s="51"/>
      <c r="G897" s="51"/>
      <c r="H897" s="51"/>
      <c r="I897" s="51"/>
    </row>
    <row r="898" spans="5:9" ht="15.75" customHeight="1">
      <c r="E898" s="51"/>
      <c r="F898" s="51"/>
      <c r="G898" s="51"/>
      <c r="H898" s="51"/>
      <c r="I898" s="51"/>
    </row>
    <row r="899" spans="5:9" ht="15.75" customHeight="1">
      <c r="E899" s="51"/>
      <c r="F899" s="51"/>
      <c r="G899" s="51"/>
      <c r="H899" s="51"/>
      <c r="I899" s="51"/>
    </row>
    <row r="900" spans="5:9" ht="15.75" customHeight="1">
      <c r="E900" s="51"/>
      <c r="F900" s="51"/>
      <c r="G900" s="51"/>
      <c r="H900" s="51"/>
      <c r="I900" s="51"/>
    </row>
    <row r="901" spans="5:9" ht="15.75" customHeight="1">
      <c r="E901" s="51"/>
      <c r="F901" s="51"/>
      <c r="G901" s="51"/>
      <c r="H901" s="51"/>
      <c r="I901" s="51"/>
    </row>
    <row r="902" spans="5:9" ht="15.75" customHeight="1">
      <c r="E902" s="51"/>
      <c r="F902" s="51"/>
      <c r="G902" s="51"/>
      <c r="H902" s="51"/>
      <c r="I902" s="51"/>
    </row>
    <row r="903" spans="5:9" ht="15.75" customHeight="1">
      <c r="E903" s="51"/>
      <c r="F903" s="51"/>
      <c r="G903" s="51"/>
      <c r="H903" s="51"/>
      <c r="I903" s="51"/>
    </row>
    <row r="904" spans="5:9" ht="15.75" customHeight="1">
      <c r="E904" s="51"/>
      <c r="F904" s="51"/>
      <c r="G904" s="51"/>
      <c r="H904" s="51"/>
      <c r="I904" s="51"/>
    </row>
    <row r="905" spans="5:9" ht="15.75" customHeight="1">
      <c r="E905" s="51"/>
      <c r="F905" s="51"/>
      <c r="G905" s="51"/>
      <c r="H905" s="51"/>
      <c r="I905" s="51"/>
    </row>
    <row r="906" spans="5:9" ht="15.75" customHeight="1">
      <c r="E906" s="51"/>
      <c r="F906" s="51"/>
      <c r="G906" s="51"/>
      <c r="H906" s="51"/>
      <c r="I906" s="51"/>
    </row>
    <row r="907" spans="5:9" ht="15.75" customHeight="1">
      <c r="E907" s="51"/>
      <c r="F907" s="51"/>
      <c r="G907" s="51"/>
      <c r="H907" s="51"/>
      <c r="I907" s="51"/>
    </row>
    <row r="908" spans="5:9" ht="15.75" customHeight="1">
      <c r="E908" s="51"/>
      <c r="F908" s="51"/>
      <c r="G908" s="51"/>
      <c r="H908" s="51"/>
      <c r="I908" s="51"/>
    </row>
    <row r="909" spans="5:9" ht="15.75" customHeight="1">
      <c r="E909" s="51"/>
      <c r="F909" s="51"/>
      <c r="G909" s="51"/>
      <c r="H909" s="51"/>
      <c r="I909" s="51"/>
    </row>
    <row r="910" spans="5:9" ht="15.75" customHeight="1">
      <c r="E910" s="51"/>
      <c r="F910" s="51"/>
      <c r="G910" s="51"/>
      <c r="H910" s="51"/>
      <c r="I910" s="51"/>
    </row>
    <row r="911" spans="5:9" ht="15.75" customHeight="1">
      <c r="E911" s="51"/>
      <c r="F911" s="51"/>
      <c r="G911" s="51"/>
      <c r="H911" s="51"/>
      <c r="I911" s="51"/>
    </row>
    <row r="912" spans="5:9" ht="15.75" customHeight="1">
      <c r="E912" s="51"/>
      <c r="F912" s="51"/>
      <c r="G912" s="51"/>
      <c r="H912" s="51"/>
      <c r="I912" s="51"/>
    </row>
    <row r="913" spans="5:9" ht="15.75" customHeight="1">
      <c r="E913" s="51"/>
      <c r="F913" s="51"/>
      <c r="G913" s="51"/>
      <c r="H913" s="51"/>
      <c r="I913" s="51"/>
    </row>
    <row r="914" spans="5:9" ht="15.75" customHeight="1">
      <c r="E914" s="51"/>
      <c r="F914" s="51"/>
      <c r="G914" s="51"/>
      <c r="H914" s="51"/>
      <c r="I914" s="51"/>
    </row>
    <row r="915" spans="5:9" ht="15.75" customHeight="1">
      <c r="E915" s="51"/>
      <c r="F915" s="51"/>
      <c r="G915" s="51"/>
      <c r="H915" s="51"/>
      <c r="I915" s="51"/>
    </row>
    <row r="916" spans="5:9" ht="15.75" customHeight="1">
      <c r="E916" s="51"/>
      <c r="F916" s="51"/>
      <c r="G916" s="51"/>
      <c r="H916" s="51"/>
      <c r="I916" s="51"/>
    </row>
    <row r="917" spans="5:9" ht="15.75" customHeight="1">
      <c r="E917" s="51"/>
      <c r="F917" s="51"/>
      <c r="G917" s="51"/>
      <c r="H917" s="51"/>
      <c r="I917" s="51"/>
    </row>
    <row r="918" spans="5:9" ht="15.75" customHeight="1">
      <c r="E918" s="51"/>
      <c r="F918" s="51"/>
      <c r="G918" s="51"/>
      <c r="H918" s="51"/>
      <c r="I918" s="51"/>
    </row>
    <row r="919" spans="5:9" ht="15.75" customHeight="1">
      <c r="E919" s="51"/>
      <c r="F919" s="51"/>
      <c r="G919" s="51"/>
      <c r="H919" s="51"/>
      <c r="I919" s="51"/>
    </row>
    <row r="920" spans="5:9" ht="15.75" customHeight="1">
      <c r="E920" s="51"/>
      <c r="F920" s="51"/>
      <c r="G920" s="51"/>
      <c r="H920" s="51"/>
      <c r="I920" s="51"/>
    </row>
    <row r="921" spans="5:9" ht="15.75" customHeight="1">
      <c r="E921" s="51"/>
      <c r="F921" s="51"/>
      <c r="G921" s="51"/>
      <c r="H921" s="51"/>
      <c r="I921" s="51"/>
    </row>
    <row r="922" spans="5:9" ht="15.75" customHeight="1">
      <c r="E922" s="51"/>
      <c r="F922" s="51"/>
      <c r="G922" s="51"/>
      <c r="H922" s="51"/>
      <c r="I922" s="51"/>
    </row>
    <row r="923" spans="5:9" ht="15.75" customHeight="1">
      <c r="E923" s="51"/>
      <c r="F923" s="51"/>
      <c r="G923" s="51"/>
      <c r="H923" s="51"/>
      <c r="I923" s="51"/>
    </row>
    <row r="924" spans="5:9" ht="15.75" customHeight="1">
      <c r="E924" s="51"/>
      <c r="F924" s="51"/>
      <c r="G924" s="51"/>
      <c r="H924" s="51"/>
      <c r="I924" s="51"/>
    </row>
    <row r="925" spans="5:9" ht="15.75" customHeight="1">
      <c r="E925" s="51"/>
      <c r="F925" s="51"/>
      <c r="G925" s="51"/>
      <c r="H925" s="51"/>
      <c r="I925" s="51"/>
    </row>
    <row r="926" spans="5:9" ht="15.75" customHeight="1">
      <c r="E926" s="51"/>
      <c r="F926" s="51"/>
      <c r="G926" s="51"/>
      <c r="H926" s="51"/>
      <c r="I926" s="51"/>
    </row>
    <row r="927" spans="5:9" ht="15.75" customHeight="1">
      <c r="E927" s="51"/>
      <c r="F927" s="51"/>
      <c r="G927" s="51"/>
      <c r="H927" s="51"/>
      <c r="I927" s="51"/>
    </row>
    <row r="928" spans="5:9" ht="15.75" customHeight="1">
      <c r="E928" s="51"/>
      <c r="F928" s="51"/>
      <c r="G928" s="51"/>
      <c r="H928" s="51"/>
      <c r="I928" s="51"/>
    </row>
    <row r="929" spans="5:9" ht="15.75" customHeight="1">
      <c r="E929" s="51"/>
      <c r="F929" s="51"/>
      <c r="G929" s="51"/>
      <c r="H929" s="51"/>
      <c r="I929" s="51"/>
    </row>
    <row r="930" spans="5:9" ht="15.75" customHeight="1">
      <c r="E930" s="51"/>
      <c r="F930" s="51"/>
      <c r="G930" s="51"/>
      <c r="H930" s="51"/>
      <c r="I930" s="51"/>
    </row>
    <row r="931" spans="5:9" ht="15.75" customHeight="1">
      <c r="E931" s="51"/>
      <c r="F931" s="51"/>
      <c r="G931" s="51"/>
      <c r="H931" s="51"/>
      <c r="I931" s="51"/>
    </row>
    <row r="932" spans="5:9" ht="15.75" customHeight="1">
      <c r="E932" s="51"/>
      <c r="F932" s="51"/>
      <c r="G932" s="51"/>
      <c r="H932" s="51"/>
      <c r="I932" s="51"/>
    </row>
    <row r="933" spans="5:9" ht="15.75" customHeight="1">
      <c r="E933" s="51"/>
      <c r="F933" s="51"/>
      <c r="G933" s="51"/>
      <c r="H933" s="51"/>
      <c r="I933" s="51"/>
    </row>
    <row r="934" spans="5:9" ht="15.75" customHeight="1">
      <c r="E934" s="51"/>
      <c r="F934" s="51"/>
      <c r="G934" s="51"/>
      <c r="H934" s="51"/>
      <c r="I934" s="51"/>
    </row>
    <row r="935" spans="5:9" ht="15.75" customHeight="1">
      <c r="E935" s="51"/>
      <c r="F935" s="51"/>
      <c r="G935" s="51"/>
      <c r="H935" s="51"/>
      <c r="I935" s="51"/>
    </row>
    <row r="936" spans="5:9" ht="15.75" customHeight="1">
      <c r="E936" s="51"/>
      <c r="F936" s="51"/>
      <c r="G936" s="51"/>
      <c r="H936" s="51"/>
      <c r="I936" s="51"/>
    </row>
    <row r="937" spans="5:9" ht="15.75" customHeight="1">
      <c r="E937" s="51"/>
      <c r="F937" s="51"/>
      <c r="G937" s="51"/>
      <c r="H937" s="51"/>
      <c r="I937" s="51"/>
    </row>
    <row r="938" spans="5:9" ht="15.75" customHeight="1">
      <c r="E938" s="51"/>
      <c r="F938" s="51"/>
      <c r="G938" s="51"/>
      <c r="H938" s="51"/>
      <c r="I938" s="51"/>
    </row>
    <row r="939" spans="5:9" ht="15.75" customHeight="1">
      <c r="E939" s="51"/>
      <c r="F939" s="51"/>
      <c r="G939" s="51"/>
      <c r="H939" s="51"/>
      <c r="I939" s="51"/>
    </row>
    <row r="940" spans="5:9" ht="15.75" customHeight="1">
      <c r="E940" s="51"/>
      <c r="F940" s="51"/>
      <c r="G940" s="51"/>
      <c r="H940" s="51"/>
      <c r="I940" s="51"/>
    </row>
    <row r="941" spans="5:9" ht="15.75" customHeight="1">
      <c r="E941" s="51"/>
      <c r="F941" s="51"/>
      <c r="G941" s="51"/>
      <c r="H941" s="51"/>
      <c r="I941" s="51"/>
    </row>
    <row r="942" spans="5:9" ht="15.75" customHeight="1">
      <c r="E942" s="51"/>
      <c r="F942" s="51"/>
      <c r="G942" s="51"/>
      <c r="H942" s="51"/>
      <c r="I942" s="51"/>
    </row>
    <row r="943" spans="5:9" ht="15.75" customHeight="1">
      <c r="E943" s="51"/>
      <c r="F943" s="51"/>
      <c r="G943" s="51"/>
      <c r="H943" s="51"/>
      <c r="I943" s="51"/>
    </row>
    <row r="944" spans="5:9" ht="15.75" customHeight="1">
      <c r="E944" s="51"/>
      <c r="F944" s="51"/>
      <c r="G944" s="51"/>
      <c r="H944" s="51"/>
      <c r="I944" s="51"/>
    </row>
    <row r="945" spans="5:9" ht="15.75" customHeight="1">
      <c r="E945" s="51"/>
      <c r="F945" s="51"/>
      <c r="G945" s="51"/>
      <c r="H945" s="51"/>
      <c r="I945" s="51"/>
    </row>
    <row r="946" spans="5:9" ht="15.75" customHeight="1">
      <c r="E946" s="51"/>
      <c r="F946" s="51"/>
      <c r="G946" s="51"/>
      <c r="H946" s="51"/>
      <c r="I946" s="51"/>
    </row>
    <row r="947" spans="5:9" ht="15.75" customHeight="1">
      <c r="E947" s="51"/>
      <c r="F947" s="51"/>
      <c r="G947" s="51"/>
      <c r="H947" s="51"/>
      <c r="I947" s="51"/>
    </row>
    <row r="948" spans="5:9" ht="15.75" customHeight="1">
      <c r="E948" s="51"/>
      <c r="F948" s="51"/>
      <c r="G948" s="51"/>
      <c r="H948" s="51"/>
      <c r="I948" s="51"/>
    </row>
    <row r="949" spans="5:9" ht="15.75" customHeight="1">
      <c r="E949" s="51"/>
      <c r="F949" s="51"/>
      <c r="G949" s="51"/>
      <c r="H949" s="51"/>
      <c r="I949" s="51"/>
    </row>
    <row r="950" spans="5:9" ht="15.75" customHeight="1">
      <c r="E950" s="51"/>
      <c r="F950" s="51"/>
      <c r="G950" s="51"/>
      <c r="H950" s="51"/>
      <c r="I950" s="51"/>
    </row>
    <row r="951" spans="5:9" ht="15.75" customHeight="1">
      <c r="E951" s="51"/>
      <c r="F951" s="51"/>
      <c r="G951" s="51"/>
      <c r="H951" s="51"/>
      <c r="I951" s="51"/>
    </row>
    <row r="952" spans="5:9" ht="15.75" customHeight="1">
      <c r="E952" s="51"/>
      <c r="F952" s="51"/>
      <c r="G952" s="51"/>
      <c r="H952" s="51"/>
      <c r="I952" s="51"/>
    </row>
    <row r="953" spans="5:9" ht="15.75" customHeight="1">
      <c r="E953" s="51"/>
      <c r="F953" s="51"/>
      <c r="G953" s="51"/>
      <c r="H953" s="51"/>
      <c r="I953" s="51"/>
    </row>
    <row r="954" spans="5:9" ht="15.75" customHeight="1">
      <c r="E954" s="51"/>
      <c r="F954" s="51"/>
      <c r="G954" s="51"/>
      <c r="H954" s="51"/>
      <c r="I954" s="51"/>
    </row>
    <row r="955" spans="5:9" ht="15.75" customHeight="1">
      <c r="E955" s="51"/>
      <c r="F955" s="51"/>
      <c r="G955" s="51"/>
      <c r="H955" s="51"/>
      <c r="I955" s="51"/>
    </row>
    <row r="956" spans="5:9" ht="15.75" customHeight="1">
      <c r="E956" s="51"/>
      <c r="F956" s="51"/>
      <c r="G956" s="51"/>
      <c r="H956" s="51"/>
      <c r="I956" s="51"/>
    </row>
    <row r="957" spans="5:9" ht="15.75" customHeight="1">
      <c r="E957" s="51"/>
      <c r="F957" s="51"/>
      <c r="G957" s="51"/>
      <c r="H957" s="51"/>
      <c r="I957" s="51"/>
    </row>
    <row r="958" spans="5:9" ht="15.75" customHeight="1">
      <c r="E958" s="51"/>
      <c r="F958" s="51"/>
      <c r="G958" s="51"/>
      <c r="H958" s="51"/>
      <c r="I958" s="51"/>
    </row>
    <row r="959" spans="5:9" ht="15.75" customHeight="1">
      <c r="E959" s="51"/>
      <c r="F959" s="51"/>
      <c r="G959" s="51"/>
      <c r="H959" s="51"/>
      <c r="I959" s="51"/>
    </row>
    <row r="960" spans="5:9" ht="15.75" customHeight="1">
      <c r="E960" s="51"/>
      <c r="F960" s="51"/>
      <c r="G960" s="51"/>
      <c r="H960" s="51"/>
      <c r="I960" s="51"/>
    </row>
    <row r="961" spans="5:9" ht="15.75" customHeight="1">
      <c r="E961" s="51"/>
      <c r="F961" s="51"/>
      <c r="G961" s="51"/>
      <c r="H961" s="51"/>
      <c r="I961" s="51"/>
    </row>
    <row r="962" spans="5:9" ht="15.75" customHeight="1">
      <c r="E962" s="51"/>
      <c r="F962" s="51"/>
      <c r="G962" s="51"/>
      <c r="H962" s="51"/>
      <c r="I962" s="51"/>
    </row>
    <row r="963" spans="5:9" ht="15.75" customHeight="1">
      <c r="E963" s="51"/>
      <c r="F963" s="51"/>
      <c r="G963" s="51"/>
      <c r="H963" s="51"/>
      <c r="I963" s="51"/>
    </row>
    <row r="964" spans="5:9" ht="15.75" customHeight="1">
      <c r="E964" s="51"/>
      <c r="F964" s="51"/>
      <c r="G964" s="51"/>
      <c r="H964" s="51"/>
      <c r="I964" s="51"/>
    </row>
    <row r="965" spans="5:9" ht="15.75" customHeight="1">
      <c r="E965" s="51"/>
      <c r="F965" s="51"/>
      <c r="G965" s="51"/>
      <c r="H965" s="51"/>
      <c r="I965" s="51"/>
    </row>
    <row r="966" spans="5:9" ht="15.75" customHeight="1">
      <c r="E966" s="51"/>
      <c r="F966" s="51"/>
      <c r="G966" s="51"/>
      <c r="H966" s="51"/>
      <c r="I966" s="51"/>
    </row>
    <row r="967" spans="5:9" ht="15.75" customHeight="1">
      <c r="E967" s="51"/>
      <c r="F967" s="51"/>
      <c r="G967" s="51"/>
      <c r="H967" s="51"/>
      <c r="I967" s="51"/>
    </row>
    <row r="968" spans="5:9" ht="15.75" customHeight="1">
      <c r="E968" s="51"/>
      <c r="F968" s="51"/>
      <c r="G968" s="51"/>
      <c r="H968" s="51"/>
      <c r="I968" s="51"/>
    </row>
    <row r="969" spans="5:9" ht="15.75" customHeight="1">
      <c r="E969" s="51"/>
      <c r="F969" s="51"/>
      <c r="G969" s="51"/>
      <c r="H969" s="51"/>
      <c r="I969" s="51"/>
    </row>
    <row r="970" spans="5:9" ht="15.75" customHeight="1">
      <c r="E970" s="51"/>
      <c r="F970" s="51"/>
      <c r="G970" s="51"/>
      <c r="H970" s="51"/>
      <c r="I970" s="51"/>
    </row>
    <row r="971" spans="5:9" ht="15.75" customHeight="1">
      <c r="E971" s="51"/>
      <c r="F971" s="51"/>
      <c r="G971" s="51"/>
      <c r="H971" s="51"/>
      <c r="I971" s="51"/>
    </row>
    <row r="972" spans="5:9" ht="15.75" customHeight="1">
      <c r="E972" s="51"/>
      <c r="F972" s="51"/>
      <c r="G972" s="51"/>
      <c r="H972" s="51"/>
      <c r="I972" s="51"/>
    </row>
    <row r="973" spans="5:9" ht="15.75" customHeight="1">
      <c r="E973" s="51"/>
      <c r="F973" s="51"/>
      <c r="G973" s="51"/>
      <c r="H973" s="51"/>
      <c r="I973" s="51"/>
    </row>
    <row r="974" spans="5:9" ht="15.75" customHeight="1">
      <c r="E974" s="51"/>
      <c r="F974" s="51"/>
      <c r="G974" s="51"/>
      <c r="H974" s="51"/>
      <c r="I974" s="51"/>
    </row>
    <row r="975" spans="5:9" ht="15.75" customHeight="1">
      <c r="E975" s="51"/>
      <c r="F975" s="51"/>
      <c r="G975" s="51"/>
      <c r="H975" s="51"/>
      <c r="I975" s="51"/>
    </row>
    <row r="976" spans="5:9" ht="15.75" customHeight="1">
      <c r="E976" s="51"/>
      <c r="F976" s="51"/>
      <c r="G976" s="51"/>
      <c r="H976" s="51"/>
      <c r="I976" s="51"/>
    </row>
    <row r="977" spans="5:9" ht="15.75" customHeight="1">
      <c r="E977" s="51"/>
      <c r="F977" s="51"/>
      <c r="G977" s="51"/>
      <c r="H977" s="51"/>
      <c r="I977" s="51"/>
    </row>
    <row r="978" spans="5:9" ht="15.75" customHeight="1">
      <c r="E978" s="51"/>
      <c r="F978" s="51"/>
      <c r="G978" s="51"/>
      <c r="H978" s="51"/>
      <c r="I978" s="51"/>
    </row>
    <row r="979" spans="5:9" ht="15.75" customHeight="1">
      <c r="E979" s="51"/>
      <c r="F979" s="51"/>
      <c r="G979" s="51"/>
      <c r="H979" s="51"/>
      <c r="I979" s="51"/>
    </row>
    <row r="980" spans="5:9" ht="15.75" customHeight="1">
      <c r="E980" s="51"/>
      <c r="F980" s="51"/>
      <c r="G980" s="51"/>
      <c r="H980" s="51"/>
      <c r="I980" s="51"/>
    </row>
    <row r="981" spans="5:9" ht="15.75" customHeight="1">
      <c r="E981" s="51"/>
      <c r="F981" s="51"/>
      <c r="G981" s="51"/>
      <c r="H981" s="51"/>
      <c r="I981" s="51"/>
    </row>
    <row r="982" spans="5:9" ht="15.75" customHeight="1">
      <c r="E982" s="51"/>
      <c r="F982" s="51"/>
      <c r="G982" s="51"/>
      <c r="H982" s="51"/>
      <c r="I982" s="51"/>
    </row>
    <row r="983" spans="5:9" ht="15.75" customHeight="1">
      <c r="E983" s="51"/>
      <c r="F983" s="51"/>
      <c r="G983" s="51"/>
      <c r="H983" s="51"/>
      <c r="I983" s="51"/>
    </row>
    <row r="984" spans="5:9" ht="15.75" customHeight="1">
      <c r="E984" s="51"/>
      <c r="F984" s="51"/>
      <c r="G984" s="51"/>
      <c r="H984" s="51"/>
      <c r="I984" s="51"/>
    </row>
    <row r="985" spans="5:9" ht="15.75" customHeight="1">
      <c r="E985" s="51"/>
      <c r="F985" s="51"/>
      <c r="G985" s="51"/>
      <c r="H985" s="51"/>
      <c r="I985" s="51"/>
    </row>
    <row r="986" spans="5:9" ht="15.75" customHeight="1">
      <c r="E986" s="51"/>
      <c r="F986" s="51"/>
      <c r="G986" s="51"/>
      <c r="H986" s="51"/>
      <c r="I986" s="51"/>
    </row>
    <row r="987" spans="5:9" ht="15.75" customHeight="1">
      <c r="E987" s="51"/>
      <c r="F987" s="51"/>
      <c r="G987" s="51"/>
      <c r="H987" s="51"/>
      <c r="I987" s="51"/>
    </row>
    <row r="988" spans="5:9" ht="15.75" customHeight="1">
      <c r="E988" s="51"/>
      <c r="F988" s="51"/>
      <c r="G988" s="51"/>
      <c r="H988" s="51"/>
      <c r="I988" s="51"/>
    </row>
    <row r="989" spans="5:9" ht="15.75" customHeight="1">
      <c r="E989" s="51"/>
      <c r="F989" s="51"/>
      <c r="G989" s="51"/>
      <c r="H989" s="51"/>
      <c r="I989" s="51"/>
    </row>
    <row r="990" spans="5:9" ht="15.75" customHeight="1">
      <c r="E990" s="51"/>
      <c r="F990" s="51"/>
      <c r="G990" s="51"/>
      <c r="H990" s="51"/>
      <c r="I990" s="51"/>
    </row>
    <row r="991" spans="5:9" ht="15.75" customHeight="1">
      <c r="E991" s="51"/>
      <c r="F991" s="51"/>
      <c r="G991" s="51"/>
      <c r="H991" s="51"/>
      <c r="I991" s="51"/>
    </row>
    <row r="992" spans="5:9" ht="15.75" customHeight="1">
      <c r="E992" s="51"/>
      <c r="F992" s="51"/>
      <c r="G992" s="51"/>
      <c r="H992" s="51"/>
      <c r="I992" s="51"/>
    </row>
    <row r="993" spans="5:9" ht="15.75" customHeight="1">
      <c r="E993" s="51"/>
      <c r="F993" s="51"/>
      <c r="G993" s="51"/>
      <c r="H993" s="51"/>
      <c r="I993" s="51"/>
    </row>
    <row r="994" spans="5:9" ht="15.75" customHeight="1">
      <c r="E994" s="51"/>
      <c r="F994" s="51"/>
      <c r="G994" s="51"/>
      <c r="H994" s="51"/>
      <c r="I994" s="51"/>
    </row>
    <row r="995" spans="5:9" ht="15.75" customHeight="1">
      <c r="E995" s="51"/>
      <c r="F995" s="51"/>
      <c r="G995" s="51"/>
      <c r="H995" s="51"/>
      <c r="I995" s="51"/>
    </row>
    <row r="996" spans="5:9" ht="15.75" customHeight="1">
      <c r="E996" s="51"/>
      <c r="F996" s="51"/>
      <c r="G996" s="51"/>
      <c r="H996" s="51"/>
      <c r="I996" s="51"/>
    </row>
    <row r="997" spans="5:9" ht="15.75" customHeight="1">
      <c r="E997" s="51"/>
      <c r="F997" s="51"/>
      <c r="G997" s="51"/>
      <c r="H997" s="51"/>
      <c r="I997" s="51"/>
    </row>
    <row r="998" spans="5:9" ht="15.75" customHeight="1">
      <c r="E998" s="51"/>
      <c r="F998" s="51"/>
      <c r="G998" s="51"/>
      <c r="H998" s="51"/>
      <c r="I998" s="51"/>
    </row>
    <row r="999" spans="5:9" ht="15.75" customHeight="1">
      <c r="E999" s="51"/>
      <c r="F999" s="51"/>
      <c r="G999" s="51"/>
      <c r="H999" s="51"/>
      <c r="I999" s="51"/>
    </row>
    <row r="1000" spans="5:9" ht="15.75" customHeight="1">
      <c r="E1000" s="51"/>
      <c r="F1000" s="51"/>
      <c r="G1000" s="51"/>
      <c r="H1000" s="51"/>
      <c r="I1000" s="51"/>
    </row>
    <row r="1001" spans="5:9" ht="15.75" customHeight="1">
      <c r="E1001" s="51"/>
      <c r="F1001" s="51"/>
      <c r="G1001" s="51"/>
      <c r="H1001" s="51"/>
      <c r="I1001" s="51"/>
    </row>
    <row r="1002" spans="5:9" ht="15.75" customHeight="1">
      <c r="E1002" s="51"/>
      <c r="F1002" s="51"/>
      <c r="G1002" s="51"/>
      <c r="H1002" s="51"/>
      <c r="I1002" s="51"/>
    </row>
    <row r="1003" spans="5:9" ht="15.75" customHeight="1">
      <c r="E1003" s="51"/>
      <c r="F1003" s="51"/>
      <c r="G1003" s="51"/>
      <c r="H1003" s="51"/>
      <c r="I1003" s="51"/>
    </row>
    <row r="1004" spans="5:9" ht="15.75" customHeight="1">
      <c r="E1004" s="51"/>
      <c r="F1004" s="51"/>
      <c r="G1004" s="51"/>
      <c r="H1004" s="51"/>
      <c r="I1004" s="51"/>
    </row>
    <row r="1005" spans="5:9" ht="15.75" customHeight="1">
      <c r="E1005" s="51"/>
      <c r="F1005" s="51"/>
      <c r="G1005" s="51"/>
      <c r="H1005" s="51"/>
      <c r="I1005" s="51"/>
    </row>
    <row r="1006" spans="5:9" ht="15.75" customHeight="1">
      <c r="E1006" s="51"/>
      <c r="F1006" s="51"/>
      <c r="G1006" s="51"/>
      <c r="H1006" s="51"/>
      <c r="I1006" s="51"/>
    </row>
    <row r="1007" spans="5:9" ht="15.75" customHeight="1">
      <c r="E1007" s="51"/>
      <c r="F1007" s="51"/>
      <c r="G1007" s="51"/>
      <c r="H1007" s="51"/>
      <c r="I1007" s="51"/>
    </row>
    <row r="1008" spans="5:9" ht="15.75" customHeight="1">
      <c r="E1008" s="51"/>
      <c r="F1008" s="51"/>
      <c r="G1008" s="51"/>
      <c r="H1008" s="51"/>
      <c r="I1008" s="51"/>
    </row>
    <row r="1009" spans="5:9" ht="15.75" customHeight="1">
      <c r="E1009" s="51"/>
      <c r="F1009" s="51"/>
      <c r="G1009" s="51"/>
      <c r="H1009" s="51"/>
      <c r="I1009" s="51"/>
    </row>
    <row r="1010" spans="5:9" ht="15.75" customHeight="1">
      <c r="E1010" s="51"/>
      <c r="F1010" s="51"/>
      <c r="G1010" s="51"/>
      <c r="H1010" s="51"/>
      <c r="I1010" s="51"/>
    </row>
    <row r="1011" spans="5:9" ht="15.75" customHeight="1">
      <c r="E1011" s="51"/>
      <c r="F1011" s="51"/>
      <c r="G1011" s="51"/>
      <c r="H1011" s="51"/>
      <c r="I1011" s="51"/>
    </row>
    <row r="1012" spans="5:9" ht="15.75" customHeight="1">
      <c r="E1012" s="51"/>
      <c r="F1012" s="51"/>
      <c r="G1012" s="51"/>
      <c r="H1012" s="51"/>
      <c r="I1012" s="51"/>
    </row>
    <row r="1013" spans="5:9" ht="15.75" customHeight="1">
      <c r="E1013" s="51"/>
      <c r="F1013" s="51"/>
      <c r="G1013" s="51"/>
      <c r="H1013" s="51"/>
      <c r="I1013" s="51"/>
    </row>
    <row r="1014" spans="5:9" ht="15.75" customHeight="1">
      <c r="E1014" s="51"/>
      <c r="F1014" s="51"/>
      <c r="G1014" s="51"/>
      <c r="H1014" s="51"/>
      <c r="I1014" s="51"/>
    </row>
    <row r="1015" spans="5:9" ht="15.75" customHeight="1">
      <c r="E1015" s="51"/>
      <c r="F1015" s="51"/>
      <c r="G1015" s="51"/>
      <c r="H1015" s="51"/>
      <c r="I1015" s="51"/>
    </row>
    <row r="1016" spans="5:9" ht="15.75" customHeight="1">
      <c r="E1016" s="51"/>
      <c r="F1016" s="51"/>
      <c r="G1016" s="51"/>
      <c r="H1016" s="51"/>
      <c r="I1016" s="51"/>
    </row>
    <row r="1017" spans="5:9" ht="15.75" customHeight="1">
      <c r="E1017" s="51"/>
      <c r="F1017" s="51"/>
      <c r="G1017" s="51"/>
      <c r="H1017" s="51"/>
      <c r="I1017" s="51"/>
    </row>
    <row r="1018" spans="5:9" ht="15.75" customHeight="1">
      <c r="E1018" s="51"/>
      <c r="F1018" s="51"/>
      <c r="G1018" s="51"/>
      <c r="H1018" s="51"/>
      <c r="I1018" s="51"/>
    </row>
    <row r="1019" spans="5:9" ht="15.75" customHeight="1">
      <c r="E1019" s="51"/>
      <c r="F1019" s="51"/>
      <c r="G1019" s="51"/>
      <c r="H1019" s="51"/>
      <c r="I1019" s="51"/>
    </row>
    <row r="1020" spans="5:9" ht="15.75" customHeight="1">
      <c r="E1020" s="51"/>
      <c r="F1020" s="51"/>
      <c r="G1020" s="51"/>
      <c r="H1020" s="51"/>
      <c r="I1020" s="51"/>
    </row>
    <row r="1021" spans="5:9" ht="15.75" customHeight="1">
      <c r="E1021" s="51"/>
      <c r="F1021" s="51"/>
      <c r="G1021" s="51"/>
      <c r="H1021" s="51"/>
      <c r="I1021" s="51"/>
    </row>
    <row r="1022" spans="5:9" ht="15.75" customHeight="1">
      <c r="E1022" s="51"/>
      <c r="F1022" s="51"/>
      <c r="G1022" s="51"/>
      <c r="H1022" s="51"/>
      <c r="I1022" s="51"/>
    </row>
    <row r="1023" spans="5:9" ht="15.75" customHeight="1">
      <c r="E1023" s="51"/>
      <c r="F1023" s="51"/>
      <c r="G1023" s="51"/>
      <c r="H1023" s="51"/>
      <c r="I1023" s="51"/>
    </row>
    <row r="1024" spans="5:9" ht="15.75" customHeight="1">
      <c r="E1024" s="51"/>
      <c r="F1024" s="51"/>
      <c r="G1024" s="51"/>
      <c r="H1024" s="51"/>
      <c r="I1024" s="51"/>
    </row>
    <row r="1025" spans="5:9" ht="15.75" customHeight="1">
      <c r="E1025" s="51"/>
      <c r="F1025" s="51"/>
      <c r="G1025" s="51"/>
      <c r="H1025" s="51"/>
      <c r="I1025" s="51"/>
    </row>
    <row r="1026" spans="5:9" ht="15.75" customHeight="1">
      <c r="E1026" s="51"/>
      <c r="F1026" s="51"/>
      <c r="G1026" s="51"/>
      <c r="H1026" s="51"/>
      <c r="I1026" s="51"/>
    </row>
    <row r="1027" spans="5:9" ht="15.75" customHeight="1">
      <c r="E1027" s="51"/>
      <c r="F1027" s="51"/>
      <c r="G1027" s="51"/>
      <c r="H1027" s="51"/>
      <c r="I1027" s="51"/>
    </row>
    <row r="1028" spans="5:9" ht="15.75" customHeight="1">
      <c r="E1028" s="51"/>
      <c r="F1028" s="51"/>
      <c r="G1028" s="51"/>
      <c r="H1028" s="51"/>
      <c r="I1028" s="51"/>
    </row>
    <row r="1029" spans="5:9" ht="15.75" customHeight="1">
      <c r="E1029" s="51"/>
      <c r="F1029" s="51"/>
      <c r="G1029" s="51"/>
      <c r="H1029" s="51"/>
      <c r="I1029" s="51"/>
    </row>
    <row r="1030" spans="5:9" ht="15.75" customHeight="1">
      <c r="E1030" s="51"/>
      <c r="F1030" s="51"/>
      <c r="G1030" s="51"/>
      <c r="H1030" s="51"/>
      <c r="I1030" s="51"/>
    </row>
  </sheetData>
  <mergeCells count="4">
    <mergeCell ref="A1:C1"/>
    <mergeCell ref="E1:I1"/>
    <mergeCell ref="J1:K1"/>
    <mergeCell ref="L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24"/>
  <sheetViews>
    <sheetView workbookViewId="0"/>
  </sheetViews>
  <sheetFormatPr baseColWidth="10" defaultColWidth="12.6640625" defaultRowHeight="15.75" customHeight="1"/>
  <cols>
    <col min="1" max="1" width="20.6640625" customWidth="1"/>
    <col min="2" max="2" width="15.1640625" customWidth="1"/>
    <col min="3" max="3" width="21.6640625" customWidth="1"/>
    <col min="4" max="5" width="14.6640625" customWidth="1"/>
  </cols>
  <sheetData>
    <row r="1" spans="1:7" ht="16">
      <c r="A1" s="52" t="s">
        <v>64</v>
      </c>
      <c r="B1" s="52" t="s">
        <v>65</v>
      </c>
      <c r="C1" s="52" t="s">
        <v>66</v>
      </c>
      <c r="D1" s="52" t="s">
        <v>67</v>
      </c>
      <c r="E1" s="53" t="s">
        <v>68</v>
      </c>
      <c r="F1" s="53" t="s">
        <v>69</v>
      </c>
      <c r="G1" s="53" t="s">
        <v>70</v>
      </c>
    </row>
    <row r="2" spans="1:7" ht="15.75" customHeight="1">
      <c r="A2" s="54" t="s">
        <v>71</v>
      </c>
      <c r="B2" s="55" t="s">
        <v>72</v>
      </c>
      <c r="C2" s="55">
        <v>34</v>
      </c>
      <c r="D2" s="55">
        <v>10</v>
      </c>
      <c r="E2" s="55">
        <v>240</v>
      </c>
      <c r="F2" s="55">
        <v>40</v>
      </c>
      <c r="G2" s="56">
        <v>160</v>
      </c>
    </row>
    <row r="3" spans="1:7" ht="15.75" customHeight="1">
      <c r="A3" s="54" t="s">
        <v>71</v>
      </c>
      <c r="B3" s="55" t="s">
        <v>72</v>
      </c>
      <c r="C3" s="57">
        <v>34</v>
      </c>
      <c r="D3" s="55">
        <v>10</v>
      </c>
      <c r="E3" s="55">
        <v>240</v>
      </c>
      <c r="F3" s="55">
        <v>40</v>
      </c>
      <c r="G3" s="56">
        <v>160</v>
      </c>
    </row>
    <row r="4" spans="1:7" ht="15.75" customHeight="1">
      <c r="A4" s="54" t="s">
        <v>71</v>
      </c>
      <c r="B4" s="55" t="s">
        <v>72</v>
      </c>
      <c r="C4" s="55">
        <v>40</v>
      </c>
      <c r="D4" s="55">
        <v>10</v>
      </c>
      <c r="E4" s="55">
        <v>240</v>
      </c>
      <c r="F4" s="55">
        <v>40</v>
      </c>
      <c r="G4" s="56">
        <v>160</v>
      </c>
    </row>
    <row r="5" spans="1:7" ht="15.75" customHeight="1">
      <c r="A5" s="54" t="s">
        <v>71</v>
      </c>
      <c r="B5" s="55" t="s">
        <v>72</v>
      </c>
      <c r="C5" s="55">
        <v>33</v>
      </c>
      <c r="D5" s="55">
        <v>13</v>
      </c>
      <c r="E5" s="55">
        <v>202</v>
      </c>
      <c r="F5" s="55">
        <v>50</v>
      </c>
      <c r="G5" s="56">
        <v>160</v>
      </c>
    </row>
    <row r="6" spans="1:7" ht="15.75" customHeight="1">
      <c r="A6" s="54" t="s">
        <v>71</v>
      </c>
      <c r="B6" s="55" t="s">
        <v>72</v>
      </c>
      <c r="C6" s="55">
        <v>35</v>
      </c>
      <c r="D6" s="55">
        <v>13</v>
      </c>
      <c r="E6" s="55">
        <v>202</v>
      </c>
      <c r="F6" s="55">
        <v>50</v>
      </c>
      <c r="G6" s="56">
        <v>160</v>
      </c>
    </row>
    <row r="7" spans="1:7" ht="15.75" customHeight="1">
      <c r="A7" s="54" t="s">
        <v>71</v>
      </c>
      <c r="B7" s="55" t="s">
        <v>72</v>
      </c>
      <c r="C7" s="55">
        <v>58</v>
      </c>
      <c r="D7" s="55">
        <v>18</v>
      </c>
      <c r="E7" s="55">
        <v>99</v>
      </c>
      <c r="F7" s="55">
        <v>100</v>
      </c>
      <c r="G7" s="56">
        <v>150</v>
      </c>
    </row>
    <row r="8" spans="1:7" ht="15.75" customHeight="1">
      <c r="A8" s="54" t="s">
        <v>71</v>
      </c>
      <c r="B8" s="55" t="s">
        <v>72</v>
      </c>
      <c r="C8" s="55">
        <v>59</v>
      </c>
      <c r="D8" s="55">
        <v>18</v>
      </c>
      <c r="E8" s="55">
        <v>99</v>
      </c>
      <c r="F8" s="55">
        <v>100</v>
      </c>
      <c r="G8" s="56">
        <v>150</v>
      </c>
    </row>
    <row r="9" spans="1:7" ht="15.75" customHeight="1">
      <c r="A9" s="54" t="s">
        <v>71</v>
      </c>
      <c r="B9" s="55" t="s">
        <v>72</v>
      </c>
      <c r="C9" s="55">
        <v>50</v>
      </c>
      <c r="D9" s="55">
        <v>20</v>
      </c>
      <c r="E9" s="55">
        <v>102</v>
      </c>
      <c r="F9" s="55">
        <v>50</v>
      </c>
      <c r="G9" s="56">
        <v>300</v>
      </c>
    </row>
    <row r="10" spans="1:7" ht="15.75" customHeight="1">
      <c r="A10" s="54" t="s">
        <v>71</v>
      </c>
      <c r="B10" s="55" t="s">
        <v>72</v>
      </c>
      <c r="C10" s="55">
        <v>50</v>
      </c>
      <c r="D10" s="55">
        <v>20</v>
      </c>
      <c r="E10" s="55">
        <v>102</v>
      </c>
      <c r="F10" s="55">
        <v>50</v>
      </c>
      <c r="G10" s="56">
        <v>300</v>
      </c>
    </row>
    <row r="11" spans="1:7" ht="15.75" customHeight="1">
      <c r="A11" s="54" t="s">
        <v>71</v>
      </c>
      <c r="B11" s="55" t="s">
        <v>72</v>
      </c>
      <c r="C11" s="55">
        <v>55</v>
      </c>
      <c r="D11" s="55">
        <v>22</v>
      </c>
      <c r="E11" s="55">
        <v>108</v>
      </c>
      <c r="F11" s="55">
        <v>90</v>
      </c>
      <c r="G11" s="56">
        <v>166</v>
      </c>
    </row>
    <row r="12" spans="1:7" ht="15.75" customHeight="1">
      <c r="A12" s="54" t="s">
        <v>71</v>
      </c>
      <c r="B12" s="55" t="s">
        <v>72</v>
      </c>
      <c r="C12" s="55">
        <v>59.2</v>
      </c>
      <c r="D12" s="55">
        <v>22</v>
      </c>
      <c r="E12" s="55">
        <v>108</v>
      </c>
      <c r="F12" s="55">
        <v>90</v>
      </c>
      <c r="G12" s="56">
        <v>166</v>
      </c>
    </row>
    <row r="13" spans="1:7" ht="15.75" customHeight="1">
      <c r="A13" s="54" t="s">
        <v>71</v>
      </c>
      <c r="B13" s="55" t="s">
        <v>72</v>
      </c>
      <c r="C13" s="55">
        <v>65.099999999999994</v>
      </c>
      <c r="D13" s="55">
        <v>22</v>
      </c>
      <c r="E13" s="55">
        <v>108</v>
      </c>
      <c r="F13" s="55">
        <v>90</v>
      </c>
      <c r="G13" s="56">
        <v>166</v>
      </c>
    </row>
    <row r="14" spans="1:7" ht="15.75" customHeight="1">
      <c r="A14" s="54" t="s">
        <v>71</v>
      </c>
      <c r="B14" s="55" t="s">
        <v>72</v>
      </c>
      <c r="C14" s="55">
        <v>91</v>
      </c>
      <c r="D14" s="55">
        <v>22</v>
      </c>
      <c r="E14" s="55">
        <v>108</v>
      </c>
      <c r="F14" s="55">
        <v>90</v>
      </c>
      <c r="G14" s="56">
        <v>166</v>
      </c>
    </row>
    <row r="15" spans="1:7" ht="15.75" customHeight="1">
      <c r="A15" s="54" t="s">
        <v>71</v>
      </c>
      <c r="B15" s="55" t="s">
        <v>72</v>
      </c>
      <c r="C15" s="55">
        <v>68</v>
      </c>
      <c r="D15" s="55">
        <v>35</v>
      </c>
      <c r="E15" s="55">
        <v>57</v>
      </c>
      <c r="F15" s="57">
        <v>70</v>
      </c>
      <c r="G15" s="58">
        <v>300</v>
      </c>
    </row>
    <row r="16" spans="1:7" ht="15.75" customHeight="1">
      <c r="A16" s="54" t="s">
        <v>71</v>
      </c>
      <c r="B16" s="55" t="s">
        <v>72</v>
      </c>
      <c r="C16" s="55">
        <v>72.5</v>
      </c>
      <c r="D16" s="55">
        <v>35</v>
      </c>
      <c r="E16" s="55">
        <v>57</v>
      </c>
      <c r="F16" s="57">
        <v>70</v>
      </c>
      <c r="G16" s="58">
        <v>300</v>
      </c>
    </row>
    <row r="17" spans="1:7" ht="15.75" customHeight="1">
      <c r="A17" s="54" t="s">
        <v>71</v>
      </c>
      <c r="B17" s="55" t="s">
        <v>72</v>
      </c>
      <c r="C17" s="57">
        <v>75</v>
      </c>
      <c r="D17" s="55">
        <v>35</v>
      </c>
      <c r="E17" s="55">
        <v>57</v>
      </c>
      <c r="F17" s="57">
        <v>70</v>
      </c>
      <c r="G17" s="58">
        <v>300</v>
      </c>
    </row>
    <row r="18" spans="1:7" ht="15.75" customHeight="1">
      <c r="A18" s="54" t="s">
        <v>71</v>
      </c>
      <c r="B18" s="55" t="s">
        <v>72</v>
      </c>
      <c r="C18" s="55">
        <v>75</v>
      </c>
      <c r="D18" s="55">
        <v>35</v>
      </c>
      <c r="E18" s="55">
        <v>57</v>
      </c>
      <c r="F18" s="57">
        <v>70</v>
      </c>
      <c r="G18" s="58">
        <v>300</v>
      </c>
    </row>
    <row r="19" spans="1:7" ht="15.75" customHeight="1">
      <c r="A19" s="54" t="s">
        <v>71</v>
      </c>
      <c r="B19" s="55" t="s">
        <v>72</v>
      </c>
      <c r="C19" s="55">
        <v>95</v>
      </c>
      <c r="D19" s="55">
        <v>37</v>
      </c>
      <c r="E19" s="55">
        <v>57</v>
      </c>
      <c r="F19" s="55">
        <v>70</v>
      </c>
      <c r="G19" s="56">
        <v>300</v>
      </c>
    </row>
    <row r="20" spans="1:7" ht="15.75" customHeight="1">
      <c r="A20" s="54" t="s">
        <v>71</v>
      </c>
      <c r="B20" s="55" t="s">
        <v>72</v>
      </c>
      <c r="C20" s="55">
        <v>66</v>
      </c>
      <c r="D20" s="55">
        <v>40</v>
      </c>
      <c r="E20" s="55">
        <v>57</v>
      </c>
      <c r="F20" s="57">
        <v>70</v>
      </c>
      <c r="G20" s="58">
        <v>300</v>
      </c>
    </row>
    <row r="21" spans="1:7" ht="15.75" customHeight="1">
      <c r="A21" s="54" t="s">
        <v>71</v>
      </c>
      <c r="B21" s="55" t="s">
        <v>72</v>
      </c>
      <c r="C21" s="55">
        <v>66</v>
      </c>
      <c r="D21" s="55">
        <v>40</v>
      </c>
      <c r="E21" s="55">
        <v>57</v>
      </c>
      <c r="F21" s="57">
        <v>70</v>
      </c>
      <c r="G21" s="58">
        <v>300</v>
      </c>
    </row>
    <row r="22" spans="1:7" ht="15.75" customHeight="1">
      <c r="A22" s="54" t="s">
        <v>71</v>
      </c>
      <c r="B22" s="55" t="s">
        <v>72</v>
      </c>
      <c r="C22" s="55">
        <v>68</v>
      </c>
      <c r="D22" s="55">
        <v>70</v>
      </c>
      <c r="E22" s="55">
        <v>57</v>
      </c>
      <c r="F22" s="55">
        <v>70</v>
      </c>
      <c r="G22" s="56">
        <v>300</v>
      </c>
    </row>
    <row r="23" spans="1:7" ht="15.75" customHeight="1">
      <c r="A23" s="59" t="s">
        <v>71</v>
      </c>
      <c r="B23" s="55" t="s">
        <v>72</v>
      </c>
      <c r="C23" s="55">
        <v>69</v>
      </c>
      <c r="D23" s="55">
        <v>70</v>
      </c>
      <c r="E23" s="55">
        <v>57</v>
      </c>
      <c r="F23" s="55">
        <v>70</v>
      </c>
      <c r="G23" s="56">
        <v>300</v>
      </c>
    </row>
    <row r="24" spans="1:7" ht="16">
      <c r="A24" s="60"/>
      <c r="B24" s="60"/>
      <c r="C24" s="60"/>
      <c r="D24" s="60"/>
      <c r="E24" s="61"/>
      <c r="F24" s="61"/>
      <c r="G24" s="6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BMD (No ribs)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Ellie S In</cp:lastModifiedBy>
  <dcterms:created xsi:type="dcterms:W3CDTF">2026-06-25T03:04:53Z</dcterms:created>
  <dcterms:modified xsi:type="dcterms:W3CDTF">2026-07-20T20:24:31Z</dcterms:modified>
</cp:coreProperties>
</file>